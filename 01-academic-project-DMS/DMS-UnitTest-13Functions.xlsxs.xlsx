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line" sheetId="1" state="visible" r:id="rId3"/>
    <sheet name="Cover" sheetId="2" state="visible" r:id="rId4"/>
    <sheet name="UC01-Sign-in with Google" sheetId="3" state="visible" r:id="rId5"/>
    <sheet name="UC02-Logout" sheetId="4" state="visible" r:id="rId6"/>
    <sheet name=" UC03-View Notification List" sheetId="5" state="visible" r:id="rId7"/>
    <sheet name="UC06-Booking" sheetId="6" state="visible" r:id="rId8"/>
    <sheet name="UC10-View EW Usage" sheetId="7" state="visible" r:id="rId9"/>
    <sheet name="UC013-Register Visitor Info" sheetId="8" state="visible" r:id="rId10"/>
    <sheet name="UC19-Chat with Manager" sheetId="9" state="visible" r:id="rId11"/>
    <sheet name="UC29-Login as Student" sheetId="10" state="visible" r:id="rId12"/>
    <sheet name="UC34-Import EW data" sheetId="11" state="visible" r:id="rId13"/>
    <sheet name="UC41-Chat With Student" sheetId="12" state="visible" r:id="rId14"/>
    <sheet name="UC44-Export Data" sheetId="13" state="visible" r:id="rId15"/>
    <sheet name="UC46-View Visitor Info" sheetId="14" state="visible" r:id="rId16"/>
    <sheet name="UC56-Import User Account" sheetId="15" state="visible" r:id="rId17"/>
  </sheets>
  <definedNames>
    <definedName function="false" hidden="false" name="ACTION" vbProcedure="false">#REF!</definedName>
    <definedName function="false" hidden="true" name="Google_Sheet_Link_100670095_1418882384" vbProcedure="false">z_6f1dcd5d_5dac_4817_bf40_2b66f6f593e6_.wvu.cols</definedName>
    <definedName function="false" hidden="true" name="Google_Sheet_Link_101562165_1184389026" vbProcedure="false">z_be54e0ad_3725_4423_92d7_4f1c045be1bc_.wvu.cols</definedName>
    <definedName function="false" hidden="true" name="Google_Sheet_Link_1019923530_962917704" vbProcedure="false">z_6f1dcd5d_5dac_4817_bf40_2b66f6f593e6_.wvu.cols</definedName>
    <definedName function="false" hidden="true" name="Google_Sheet_Link_1036218949_1236508880" vbProcedure="false">z_2c0d9096_8d85_462a_a9b5_0b488adb4269_.wvu.cols</definedName>
    <definedName function="false" hidden="true" name="Google_Sheet_Link_1047220765_1293839573" vbProcedure="false">z_be54e0ad_3725_4423_92d7_4f1c045be1bc_.wvu.cols</definedName>
    <definedName function="false" hidden="true" name="Google_Sheet_Link_1064019572_1718434250" vbProcedure="false">z_6f1dcd5d_5dac_4817_bf40_2b66f6f593e6_.wvu.cols</definedName>
    <definedName function="false" hidden="true" name="Google_Sheet_Link_1068697132_1084291275" vbProcedure="false">z_6f1dcd5d_5dac_4817_bf40_2b66f6f593e6_.wvu.cols</definedName>
    <definedName function="false" hidden="true" name="Google_Sheet_Link_1073601826_221768568" vbProcedure="false">z_be54e0ad_3725_4423_92d7_4f1c045be1bc_.wvu.cols</definedName>
    <definedName function="false" hidden="true" name="Google_Sheet_Link_1075344887_1474448604" vbProcedure="false">z_be54e0ad_3725_4423_92d7_4f1c045be1bc_.wvu.cols</definedName>
    <definedName function="false" hidden="true" name="Google_Sheet_Link_1082086790_1155529933" vbProcedure="false">z_6f1dcd5d_5dac_4817_bf40_2b66f6f593e6_.wvu.cols</definedName>
    <definedName function="false" hidden="true" name="Google_Sheet_Link_1088209539_455095684" vbProcedure="false">z_2c0d9096_8d85_462a_a9b5_0b488adb4269_.wvu.cols</definedName>
    <definedName function="false" hidden="true" name="Google_Sheet_Link_1110756076_1850680757" vbProcedure="false">z_2c0d9096_8d85_462a_a9b5_0b488adb4269_.wvu.cols</definedName>
    <definedName function="false" hidden="true" name="Google_Sheet_Link_1113712333_834373262" vbProcedure="false">z_6f1dcd5d_5dac_4817_bf40_2b66f6f593e6_.wvu.cols</definedName>
    <definedName function="false" hidden="true" name="Google_Sheet_Link_1114625274_1982694751" vbProcedure="false">z_6f1dcd5d_5dac_4817_bf40_2b66f6f593e6_.wvu.cols</definedName>
    <definedName function="false" hidden="true" name="Google_Sheet_Link_1119936568_198278843" vbProcedure="false">z_be54e0ad_3725_4423_92d7_4f1c045be1bc_.wvu.cols</definedName>
    <definedName function="false" hidden="true" name="Google_Sheet_Link_1125160769_1790948131" vbProcedure="false">z_2c0d9096_8d85_462a_a9b5_0b488adb4269_.wvu.cols</definedName>
    <definedName function="false" hidden="true" name="Google_Sheet_Link_1138620178_1293839573" vbProcedure="false">z_6f1dcd5d_5dac_4817_bf40_2b66f6f593e6_.wvu.cols</definedName>
    <definedName function="false" hidden="true" name="Google_Sheet_Link_1156355292_587188261" vbProcedure="false">z_be54e0ad_3725_4423_92d7_4f1c045be1bc_.wvu.cols</definedName>
    <definedName function="false" hidden="true" name="Google_Sheet_Link_1172692164_286390834" vbProcedure="false">z_6f1dcd5d_5dac_4817_bf40_2b66f6f593e6_.wvu.cols</definedName>
    <definedName function="false" hidden="true" name="Google_Sheet_Link_1186360924_448695050" vbProcedure="false">z_2c0d9096_8d85_462a_a9b5_0b488adb4269_.wvu.cols</definedName>
    <definedName function="false" hidden="true" name="Google_Sheet_Link_118719793_1805940178" vbProcedure="false">z_6f1dcd5d_5dac_4817_bf40_2b66f6f593e6_.wvu.cols</definedName>
    <definedName function="false" hidden="true" name="Google_Sheet_Link_119447272_212683110" vbProcedure="false">z_6f1dcd5d_5dac_4817_bf40_2b66f6f593e6_.wvu.cols</definedName>
    <definedName function="false" hidden="true" name="Google_Sheet_Link_1196843363_1782950928" vbProcedure="false">z_6f1dcd5d_5dac_4817_bf40_2b66f6f593e6_.wvu.cols</definedName>
    <definedName function="false" hidden="true" name="Google_Sheet_Link_1204418940_496664976" vbProcedure="false">z_6f1dcd5d_5dac_4817_bf40_2b66f6f593e6_.wvu.cols</definedName>
    <definedName function="false" hidden="true" name="Google_Sheet_Link_123402079_962917704" vbProcedure="false">z_be54e0ad_3725_4423_92d7_4f1c045be1bc_.wvu.cols</definedName>
    <definedName function="false" hidden="true" name="Google_Sheet_Link_1234099699_1757940440" vbProcedure="false">z_be54e0ad_3725_4423_92d7_4f1c045be1bc_.wvu.cols</definedName>
    <definedName function="false" hidden="true" name="Google_Sheet_Link_1237114455_131303802" vbProcedure="false">z_6f1dcd5d_5dac_4817_bf40_2b66f6f593e6_.wvu.cols</definedName>
    <definedName function="false" hidden="true" name="Google_Sheet_Link_1237886880_1083887724" vbProcedure="false">z_be54e0ad_3725_4423_92d7_4f1c045be1bc_.wvu.cols</definedName>
    <definedName function="false" hidden="true" name="Google_Sheet_Link_1252113877_1317369427" vbProcedure="false">z_2c0d9096_8d85_462a_a9b5_0b488adb4269_.wvu.cols</definedName>
    <definedName function="false" hidden="true" name="Google_Sheet_Link_1270120981_1850680757" vbProcedure="false">z_6f1dcd5d_5dac_4817_bf40_2b66f6f593e6_.wvu.cols</definedName>
    <definedName function="false" hidden="true" name="Google_Sheet_Link_1270992243_834373262" vbProcedure="false">z_2c0d9096_8d85_462a_a9b5_0b488adb4269_.wvu.cols</definedName>
    <definedName function="false" hidden="true" name="Google_Sheet_Link_1273454788_448695050" vbProcedure="false">z_6f1dcd5d_5dac_4817_bf40_2b66f6f593e6_.wvu.cols</definedName>
    <definedName function="false" hidden="true" name="Google_Sheet_Link_1284220096_39597993" vbProcedure="false">z_2c0d9096_8d85_462a_a9b5_0b488adb4269_.wvu.cols</definedName>
    <definedName function="false" hidden="true" name="Google_Sheet_Link_1295998725_286390834" vbProcedure="false">z_2c0d9096_8d85_462a_a9b5_0b488adb4269_.wvu.cols</definedName>
    <definedName function="false" hidden="true" name="Google_Sheet_Link_1297571757_529222635" vbProcedure="false">z_2c0d9096_8d85_462a_a9b5_0b488adb4269_.wvu.cols</definedName>
    <definedName function="false" hidden="true" name="Google_Sheet_Link_1301890573_221768568" vbProcedure="false">z_2c0d9096_8d85_462a_a9b5_0b488adb4269_.wvu.cols</definedName>
    <definedName function="false" hidden="true" name="Google_Sheet_Link_1312383139_871991643" vbProcedure="false">z_2c0d9096_8d85_462a_a9b5_0b488adb4269_.wvu.cols</definedName>
    <definedName function="false" hidden="true" name="Google_Sheet_Link_1326712107_638843328" vbProcedure="false">z_2c0d9096_8d85_462a_a9b5_0b488adb4269_.wvu.cols</definedName>
    <definedName function="false" hidden="true" name="Google_Sheet_Link_1338191925_871991643" vbProcedure="false">z_be54e0ad_3725_4423_92d7_4f1c045be1bc_.wvu.cols</definedName>
    <definedName function="false" hidden="true" name="Google_Sheet_Link_1355081735_1994423286" vbProcedure="false">z_2c0d9096_8d85_462a_a9b5_0b488adb4269_.wvu.cols</definedName>
    <definedName function="false" hidden="true" name="Google_Sheet_Link_1379142655_236396394" vbProcedure="false">z_be54e0ad_3725_4423_92d7_4f1c045be1bc_.wvu.cols</definedName>
    <definedName function="false" hidden="true" name="Google_Sheet_Link_1391744612_1256991568" vbProcedure="false">z_be54e0ad_3725_4423_92d7_4f1c045be1bc_.wvu.cols</definedName>
    <definedName function="false" hidden="true" name="Google_Sheet_Link_1409160985_587188261" vbProcedure="false">z_2c0d9096_8d85_462a_a9b5_0b488adb4269_.wvu.cols</definedName>
    <definedName function="false" hidden="true" name="Google_Sheet_Link_1422097922_593632923" vbProcedure="false">z_be54e0ad_3725_4423_92d7_4f1c045be1bc_.wvu.cols</definedName>
    <definedName function="false" hidden="true" name="Google_Sheet_Link_1438551069_1155529933" vbProcedure="false">z_be54e0ad_3725_4423_92d7_4f1c045be1bc_.wvu.cols</definedName>
    <definedName function="false" hidden="true" name="Google_Sheet_Link_144107490_1155529933" vbProcedure="false">z_2c0d9096_8d85_462a_a9b5_0b488adb4269_.wvu.cols</definedName>
    <definedName function="false" hidden="true" name="Google_Sheet_Link_144746606_1388872311" vbProcedure="false">z_6f1dcd5d_5dac_4817_bf40_2b66f6f593e6_.wvu.cols</definedName>
    <definedName function="false" hidden="true" name="Google_Sheet_Link_1450072014_1488578411" vbProcedure="false">z_2c0d9096_8d85_462a_a9b5_0b488adb4269_.wvu.cols</definedName>
    <definedName function="false" hidden="true" name="Google_Sheet_Link_1450231139_304781449" vbProcedure="false">z_2c0d9096_8d85_462a_a9b5_0b488adb4269_.wvu.cols</definedName>
    <definedName function="false" hidden="true" name="Google_Sheet_Link_1460730656_1009336398" vbProcedure="false">z_be54e0ad_3725_4423_92d7_4f1c045be1bc_.wvu.cols</definedName>
    <definedName function="false" hidden="true" name="Google_Sheet_Link_1461480935_448695050" vbProcedure="false">z_be54e0ad_3725_4423_92d7_4f1c045be1bc_.wvu.cols</definedName>
    <definedName function="false" hidden="true" name="Google_Sheet_Link_1464854739_1982694751" vbProcedure="false">z_be54e0ad_3725_4423_92d7_4f1c045be1bc_.wvu.cols</definedName>
    <definedName function="false" hidden="true" name="Google_Sheet_Link_1491582734_1718434250" vbProcedure="false">z_2c0d9096_8d85_462a_a9b5_0b488adb4269_.wvu.cols</definedName>
    <definedName function="false" hidden="true" name="Google_Sheet_Link_1493588767_1704858171" vbProcedure="false">z_2c0d9096_8d85_462a_a9b5_0b488adb4269_.wvu.cols</definedName>
    <definedName function="false" hidden="true" name="Google_Sheet_Link_1498115731_593450707" vbProcedure="false">z_be54e0ad_3725_4423_92d7_4f1c045be1bc_.wvu.cols</definedName>
    <definedName function="false" hidden="true" name="Google_Sheet_Link_1503545000_1261258317" vbProcedure="false">z_2c0d9096_8d85_462a_a9b5_0b488adb4269_.wvu.cols</definedName>
    <definedName function="false" hidden="true" name="Google_Sheet_Link_1524640772_59368694" vbProcedure="false">z_6f1dcd5d_5dac_4817_bf40_2b66f6f593e6_.wvu.cols</definedName>
    <definedName function="false" hidden="true" name="Google_Sheet_Link_15301065_1994423286" vbProcedure="false">z_be54e0ad_3725_4423_92d7_4f1c045be1bc_.wvu.cols</definedName>
    <definedName function="false" hidden="true" name="Google_Sheet_Link_1536679421_593632923" vbProcedure="false">z_2c0d9096_8d85_462a_a9b5_0b488adb4269_.wvu.cols</definedName>
    <definedName function="false" hidden="true" name="Google_Sheet_Link_1554946206_1744835289" vbProcedure="false">z_be54e0ad_3725_4423_92d7_4f1c045be1bc_.wvu.cols</definedName>
    <definedName function="false" hidden="true" name="Google_Sheet_Link_1563208540_1150520571" vbProcedure="false">z_6f1dcd5d_5dac_4817_bf40_2b66f6f593e6_.wvu.cols</definedName>
    <definedName function="false" hidden="true" name="Google_Sheet_Link_1567696099_212683110" vbProcedure="false">z_2c0d9096_8d85_462a_a9b5_0b488adb4269_.wvu.cols</definedName>
    <definedName function="false" hidden="true" name="Google_Sheet_Link_1586338855_1757940440" vbProcedure="false">z_2c0d9096_8d85_462a_a9b5_0b488adb4269_.wvu.cols</definedName>
    <definedName function="false" hidden="true" name="Google_Sheet_Link_1594061328_59368694" vbProcedure="false">z_2c0d9096_8d85_462a_a9b5_0b488adb4269_.wvu.cols</definedName>
    <definedName function="false" hidden="true" name="Google_Sheet_Link_1595502763_529222635" vbProcedure="false">z_6f1dcd5d_5dac_4817_bf40_2b66f6f593e6_.wvu.cols</definedName>
    <definedName function="false" hidden="true" name="Google_Sheet_Link_1597051184_1501681335" vbProcedure="false">z_2c0d9096_8d85_462a_a9b5_0b488adb4269_.wvu.cols</definedName>
    <definedName function="false" hidden="true" name="Google_Sheet_Link_1598818080_496664976" vbProcedure="false">z_2c0d9096_8d85_462a_a9b5_0b488adb4269_.wvu.cols</definedName>
    <definedName function="false" hidden="true" name="Google_Sheet_Link_1612294493_1718434250" vbProcedure="false">z_be54e0ad_3725_4423_92d7_4f1c045be1bc_.wvu.cols</definedName>
    <definedName function="false" hidden="true" name="Google_Sheet_Link_1620298789_1850680757" vbProcedure="false">z_be54e0ad_3725_4423_92d7_4f1c045be1bc_.wvu.cols</definedName>
    <definedName function="false" hidden="true" name="Google_Sheet_Link_1621679542_1929974499" vbProcedure="false">z_be54e0ad_3725_4423_92d7_4f1c045be1bc_.wvu.cols</definedName>
    <definedName function="false" hidden="true" name="Google_Sheet_Link_1642898340_516098600" vbProcedure="false">z_6f1dcd5d_5dac_4817_bf40_2b66f6f593e6_.wvu.cols</definedName>
    <definedName function="false" hidden="true" name="Google_Sheet_Link_1643576983_1261258317" vbProcedure="false">z_6f1dcd5d_5dac_4817_bf40_2b66f6f593e6_.wvu.cols</definedName>
    <definedName function="false" hidden="true" name="Google_Sheet_Link_1650572172_59368694" vbProcedure="false">z_be54e0ad_3725_4423_92d7_4f1c045be1bc_.wvu.cols</definedName>
    <definedName function="false" hidden="true" name="Google_Sheet_Link_1653289523_212683110" vbProcedure="false">z_be54e0ad_3725_4423_92d7_4f1c045be1bc_.wvu.cols</definedName>
    <definedName function="false" hidden="true" name="Google_Sheet_Link_166063139_1388872311" vbProcedure="false">z_2c0d9096_8d85_462a_a9b5_0b488adb4269_.wvu.cols</definedName>
    <definedName function="false" hidden="true" name="Google_Sheet_Link_1663062383_668432136" vbProcedure="false">z_be54e0ad_3725_4423_92d7_4f1c045be1bc_.wvu.cols</definedName>
    <definedName function="false" hidden="true" name="Google_Sheet_Link_1663891190_1790948131" vbProcedure="false">z_6f1dcd5d_5dac_4817_bf40_2b66f6f593e6_.wvu.cols</definedName>
    <definedName function="false" hidden="true" name="Google_Sheet_Link_1685614007_1841854373" vbProcedure="false">z_6f1dcd5d_5dac_4817_bf40_2b66f6f593e6_.wvu.cols</definedName>
    <definedName function="false" hidden="true" name="Google_Sheet_Link_1690131364_1184389026" vbProcedure="false">z_2c0d9096_8d85_462a_a9b5_0b488adb4269_.wvu.cols</definedName>
    <definedName function="false" hidden="true" name="Google_Sheet_Link_1698193768_323703939" vbProcedure="false">z_6f1dcd5d_5dac_4817_bf40_2b66f6f593e6_.wvu.cols</definedName>
    <definedName function="false" hidden="true" name="Google_Sheet_Link_1700761180_469599507" vbProcedure="false">z_2c0d9096_8d85_462a_a9b5_0b488adb4269_.wvu.cols</definedName>
    <definedName function="false" hidden="true" name="Google_Sheet_Link_1716756889_469599507" vbProcedure="false">z_6f1dcd5d_5dac_4817_bf40_2b66f6f593e6_.wvu.cols</definedName>
    <definedName function="false" hidden="true" name="Google_Sheet_Link_1724014793_979423185" vbProcedure="false">z_be54e0ad_3725_4423_92d7_4f1c045be1bc_.wvu.cols</definedName>
    <definedName function="false" hidden="true" name="Google_Sheet_Link_1763192351_1474448604" vbProcedure="false">z_6f1dcd5d_5dac_4817_bf40_2b66f6f593e6_.wvu.cols</definedName>
    <definedName function="false" hidden="true" name="Google_Sheet_Link_1787389147_1805940178" vbProcedure="false">z_2c0d9096_8d85_462a_a9b5_0b488adb4269_.wvu.cols</definedName>
    <definedName function="false" hidden="true" name="Google_Sheet_Link_180982390_1874117258" vbProcedure="false">z_6f1dcd5d_5dac_4817_bf40_2b66f6f593e6_.wvu.cols</definedName>
    <definedName function="false" hidden="true" name="Google_Sheet_Link_1814884237_716912225" vbProcedure="false">z_2c0d9096_8d85_462a_a9b5_0b488adb4269_.wvu.cols</definedName>
    <definedName function="false" hidden="true" name="Google_Sheet_Link_1818339471_1317369427" vbProcedure="false">z_be54e0ad_3725_4423_92d7_4f1c045be1bc_.wvu.cols</definedName>
    <definedName function="false" hidden="true" name="Google_Sheet_Link_1832785338_190125111" vbProcedure="false">z_6f1dcd5d_5dac_4817_bf40_2b66f6f593e6_.wvu.cols</definedName>
    <definedName function="false" hidden="true" name="Google_Sheet_Link_1852057534_1488578411" vbProcedure="false">z_be54e0ad_3725_4423_92d7_4f1c045be1bc_.wvu.cols</definedName>
    <definedName function="false" hidden="true" name="Google_Sheet_Link_1855911575_993305389" vbProcedure="false">z_be54e0ad_3725_4423_92d7_4f1c045be1bc_.wvu.cols</definedName>
    <definedName function="false" hidden="true" name="Google_Sheet_Link_1858772758_372942469" vbProcedure="false">z_6f1dcd5d_5dac_4817_bf40_2b66f6f593e6_.wvu.cols</definedName>
    <definedName function="false" hidden="true" name="Google_Sheet_Link_1872359729_2030316757" vbProcedure="false">z_be54e0ad_3725_4423_92d7_4f1c045be1bc_.wvu.cols</definedName>
    <definedName function="false" hidden="true" name="Google_Sheet_Link_1873657913_593632923" vbProcedure="false">z_6f1dcd5d_5dac_4817_bf40_2b66f6f593e6_.wvu.cols</definedName>
    <definedName function="false" hidden="true" name="Google_Sheet_Link_189280388_1084291275" vbProcedure="false">z_2c0d9096_8d85_462a_a9b5_0b488adb4269_.wvu.cols</definedName>
    <definedName function="false" hidden="true" name="Google_Sheet_Link_1894724237_1994423286" vbProcedure="false">z_6f1dcd5d_5dac_4817_bf40_2b66f6f593e6_.wvu.cols</definedName>
    <definedName function="false" hidden="true" name="Google_Sheet_Link_1897879356_821516031" vbProcedure="false">z_2c0d9096_8d85_462a_a9b5_0b488adb4269_.wvu.cols</definedName>
    <definedName function="false" hidden="true" name="Google_Sheet_Link_1907277225_1327392430" vbProcedure="false">z_2c0d9096_8d85_462a_a9b5_0b488adb4269_.wvu.cols</definedName>
    <definedName function="false" hidden="true" name="Google_Sheet_Link_1929400276_617644481" vbProcedure="false">z_6f1dcd5d_5dac_4817_bf40_2b66f6f593e6_.wvu.cols</definedName>
    <definedName function="false" hidden="true" name="Google_Sheet_Link_1934934801_236396394" vbProcedure="false">z_2c0d9096_8d85_462a_a9b5_0b488adb4269_.wvu.cols</definedName>
    <definedName function="false" hidden="true" name="Google_Sheet_Link_1939118364_939472920" vbProcedure="false">z_6f1dcd5d_5dac_4817_bf40_2b66f6f593e6_.wvu.cols</definedName>
    <definedName function="false" hidden="true" name="Google_Sheet_Link_1950095543_1935789917" vbProcedure="false">z_2c0d9096_8d85_462a_a9b5_0b488adb4269_.wvu.cols</definedName>
    <definedName function="false" hidden="true" name="Google_Sheet_Link_1966319445_1935789917" vbProcedure="false">z_6f1dcd5d_5dac_4817_bf40_2b66f6f593e6_.wvu.cols</definedName>
    <definedName function="false" hidden="true" name="Google_Sheet_Link_1973484456_455095684" vbProcedure="false">z_6f1dcd5d_5dac_4817_bf40_2b66f6f593e6_.wvu.cols</definedName>
    <definedName function="false" hidden="true" name="Google_Sheet_Link_1978420514_1418882384" vbProcedure="false">z_be54e0ad_3725_4423_92d7_4f1c045be1bc_.wvu.cols</definedName>
    <definedName function="false" hidden="true" name="Google_Sheet_Link_1978752946_1223897010" vbProcedure="false">z_be54e0ad_3725_4423_92d7_4f1c045be1bc_.wvu.cols</definedName>
    <definedName function="false" hidden="true" name="Google_Sheet_Link_1979340384_198278843" vbProcedure="false">z_6f1dcd5d_5dac_4817_bf40_2b66f6f593e6_.wvu.cols</definedName>
    <definedName function="false" hidden="true" name="Google_Sheet_Link_199003640_1785444380" vbProcedure="false">z_be54e0ad_3725_4423_92d7_4f1c045be1bc_.wvu.cols</definedName>
    <definedName function="false" hidden="true" name="Google_Sheet_Link_2001956049_1501681335" vbProcedure="false">z_6f1dcd5d_5dac_4817_bf40_2b66f6f593e6_.wvu.cols</definedName>
    <definedName function="false" hidden="true" name="Google_Sheet_Link_2002688067_131303802" vbProcedure="false">z_be54e0ad_3725_4423_92d7_4f1c045be1bc_.wvu.cols</definedName>
    <definedName function="false" hidden="true" name="Google_Sheet_Link_2012233032_1981268209" vbProcedure="false">z_be54e0ad_3725_4423_92d7_4f1c045be1bc_.wvu.cols</definedName>
    <definedName function="false" hidden="true" name="Google_Sheet_Link_2018148387_925608506" vbProcedure="false">z_be54e0ad_3725_4423_92d7_4f1c045be1bc_.wvu.cols</definedName>
    <definedName function="false" hidden="true" name="Google_Sheet_Link_20207944_1863638025" vbProcedure="false">z_be54e0ad_3725_4423_92d7_4f1c045be1bc_.wvu.cols</definedName>
    <definedName function="false" hidden="true" name="Google_Sheet_Link_2066921931_221768568" vbProcedure="false">z_6f1dcd5d_5dac_4817_bf40_2b66f6f593e6_.wvu.cols</definedName>
    <definedName function="false" hidden="true" name="Google_Sheet_Link_2071586082_993305389" vbProcedure="false">z_6f1dcd5d_5dac_4817_bf40_2b66f6f593e6_.wvu.cols</definedName>
    <definedName function="false" hidden="true" name="Google_Sheet_Link_208211108_304781449" vbProcedure="false">z_6f1dcd5d_5dac_4817_bf40_2b66f6f593e6_.wvu.cols</definedName>
    <definedName function="false" hidden="true" name="Google_Sheet_Link_2084466538_1083887724" vbProcedure="false">z_2c0d9096_8d85_462a_a9b5_0b488adb4269_.wvu.cols</definedName>
    <definedName function="false" hidden="true" name="Google_Sheet_Link_2084872237_1863638025" vbProcedure="false">z_6f1dcd5d_5dac_4817_bf40_2b66f6f593e6_.wvu.cols</definedName>
    <definedName function="false" hidden="true" name="Google_Sheet_Link_2089252308_1009336398" vbProcedure="false">z_2c0d9096_8d85_462a_a9b5_0b488adb4269_.wvu.cols</definedName>
    <definedName function="false" hidden="true" name="Google_Sheet_Link_2103773110_2143619212" vbProcedure="false">z_6f1dcd5d_5dac_4817_bf40_2b66f6f593e6_.wvu.cols</definedName>
    <definedName function="false" hidden="true" name="Google_Sheet_Link_2104248241_290334954" vbProcedure="false">z_be54e0ad_3725_4423_92d7_4f1c045be1bc_.wvu.cols</definedName>
    <definedName function="false" hidden="true" name="Google_Sheet_Link_2108179088_1981268209" vbProcedure="false">z_2c0d9096_8d85_462a_a9b5_0b488adb4269_.wvu.cols</definedName>
    <definedName function="false" hidden="true" name="Google_Sheet_Link_2112843034_1474448604" vbProcedure="false">z_2c0d9096_8d85_462a_a9b5_0b488adb4269_.wvu.cols</definedName>
    <definedName function="false" hidden="true" name="Google_Sheet_Link_211523146_1236508880" vbProcedure="false">z_be54e0ad_3725_4423_92d7_4f1c045be1bc_.wvu.cols</definedName>
    <definedName function="false" hidden="true" name="Google_Sheet_Link_2121558963_496664976" vbProcedure="false">z_be54e0ad_3725_4423_92d7_4f1c045be1bc_.wvu.cols</definedName>
    <definedName function="false" hidden="true" name="Google_Sheet_Link_2129567728_190125111" vbProcedure="false">z_be54e0ad_3725_4423_92d7_4f1c045be1bc_.wvu.cols</definedName>
    <definedName function="false" hidden="true" name="Google_Sheet_Link_214191986_2030316757" vbProcedure="false">z_2c0d9096_8d85_462a_a9b5_0b488adb4269_.wvu.cols</definedName>
    <definedName function="false" hidden="true" name="Google_Sheet_Link_2143204468_638843328" vbProcedure="false">z_be54e0ad_3725_4423_92d7_4f1c045be1bc_.wvu.cols</definedName>
    <definedName function="false" hidden="true" name="Google_Sheet_Link_220370493_1929974499" vbProcedure="false">z_2c0d9096_8d85_462a_a9b5_0b488adb4269_.wvu.cols</definedName>
    <definedName function="false" hidden="true" name="Google_Sheet_Link_225211258_716912225" vbProcedure="false">z_6f1dcd5d_5dac_4817_bf40_2b66f6f593e6_.wvu.cols</definedName>
    <definedName function="false" hidden="true" name="Google_Sheet_Link_230247626_304781449" vbProcedure="false">z_be54e0ad_3725_4423_92d7_4f1c045be1bc_.wvu.cols</definedName>
    <definedName function="false" hidden="true" name="Google_Sheet_Link_239761376_1261258317" vbProcedure="false">z_be54e0ad_3725_4423_92d7_4f1c045be1bc_.wvu.cols</definedName>
    <definedName function="false" hidden="true" name="Google_Sheet_Link_240006870_1874117258" vbProcedure="false">z_be54e0ad_3725_4423_92d7_4f1c045be1bc_.wvu.cols</definedName>
    <definedName function="false" hidden="true" name="Google_Sheet_Link_240228380_1981268209" vbProcedure="false">z_6f1dcd5d_5dac_4817_bf40_2b66f6f593e6_.wvu.cols</definedName>
    <definedName function="false" hidden="true" name="Google_Sheet_Link_2404357_39597993" vbProcedure="false">z_be54e0ad_3725_4423_92d7_4f1c045be1bc_.wvu.cols</definedName>
    <definedName function="false" hidden="true" name="Google_Sheet_Link_253122736_1418882384" vbProcedure="false">z_2c0d9096_8d85_462a_a9b5_0b488adb4269_.wvu.cols</definedName>
    <definedName function="false" hidden="true" name="Google_Sheet_Link_260049915_323703939" vbProcedure="false">z_be54e0ad_3725_4423_92d7_4f1c045be1bc_.wvu.cols</definedName>
    <definedName function="false" hidden="true" name="Google_Sheet_Link_261985540_529222635" vbProcedure="false">z_be54e0ad_3725_4423_92d7_4f1c045be1bc_.wvu.cols</definedName>
    <definedName function="false" hidden="true" name="Google_Sheet_Link_268034025_1303349963" vbProcedure="false">z_2c0d9096_8d85_462a_a9b5_0b488adb4269_.wvu.cols</definedName>
    <definedName function="false" hidden="true" name="Google_Sheet_Link_26936725_236396394" vbProcedure="false">z_6f1dcd5d_5dac_4817_bf40_2b66f6f593e6_.wvu.cols</definedName>
    <definedName function="false" hidden="true" name="Google_Sheet_Link_277525145_1223897010" vbProcedure="false">z_2c0d9096_8d85_462a_a9b5_0b488adb4269_.wvu.cols</definedName>
    <definedName function="false" hidden="true" name="Google_Sheet_Link_287647548_1501681335" vbProcedure="false">z_be54e0ad_3725_4423_92d7_4f1c045be1bc_.wvu.cols</definedName>
    <definedName function="false" hidden="true" name="Google_Sheet_Link_288928993_1150520571" vbProcedure="false">z_be54e0ad_3725_4423_92d7_4f1c045be1bc_.wvu.cols</definedName>
    <definedName function="false" hidden="true" name="Google_Sheet_Link_289302038_1744835289" vbProcedure="false">z_2c0d9096_8d85_462a_a9b5_0b488adb4269_.wvu.cols</definedName>
    <definedName function="false" hidden="true" name="Google_Sheet_Link_294326581_1757940440" vbProcedure="false">z_6f1dcd5d_5dac_4817_bf40_2b66f6f593e6_.wvu.cols</definedName>
    <definedName function="false" hidden="true" name="Google_Sheet_Link_30843324_1223897010" vbProcedure="false">z_6f1dcd5d_5dac_4817_bf40_2b66f6f593e6_.wvu.cols</definedName>
    <definedName function="false" hidden="true" name="Google_Sheet_Link_321769615_1982694751" vbProcedure="false">z_2c0d9096_8d85_462a_a9b5_0b488adb4269_.wvu.cols</definedName>
    <definedName function="false" hidden="true" name="Google_Sheet_Link_32244569_1150520571" vbProcedure="false">z_2c0d9096_8d85_462a_a9b5_0b488adb4269_.wvu.cols</definedName>
    <definedName function="false" hidden="true" name="Google_Sheet_Link_329928919_844119199" vbProcedure="false">z_be54e0ad_3725_4423_92d7_4f1c045be1bc_.wvu.printarea</definedName>
    <definedName function="false" hidden="true" name="Google_Sheet_Link_33241976_516098600" vbProcedure="false">z_be54e0ad_3725_4423_92d7_4f1c045be1bc_.wvu.cols</definedName>
    <definedName function="false" hidden="true" name="Google_Sheet_Link_354178138_668432136" vbProcedure="false">z_6f1dcd5d_5dac_4817_bf40_2b66f6f593e6_.wvu.cols</definedName>
    <definedName function="false" hidden="true" name="Google_Sheet_Link_359599549_638843328" vbProcedure="false">z_6f1dcd5d_5dac_4817_bf40_2b66f6f593e6_.wvu.cols</definedName>
    <definedName function="false" hidden="true" name="Google_Sheet_Link_378963602_617644481" vbProcedure="false">z_2c0d9096_8d85_462a_a9b5_0b488adb4269_.wvu.cols</definedName>
    <definedName function="false" hidden="true" name="Google_Sheet_Link_40952968_469599507" vbProcedure="false">z_be54e0ad_3725_4423_92d7_4f1c045be1bc_.wvu.cols</definedName>
    <definedName function="false" hidden="true" name="Google_Sheet_Link_418444596_1256991568" vbProcedure="false">z_2c0d9096_8d85_462a_a9b5_0b488adb4269_.wvu.cols</definedName>
    <definedName function="false" hidden="true" name="Google_Sheet_Link_427319892_739912899" vbProcedure="false">z_2c0d9096_8d85_462a_a9b5_0b488adb4269_.wvu.cols</definedName>
    <definedName function="false" hidden="true" name="Google_Sheet_Link_428434133_587188261" vbProcedure="false">z_6f1dcd5d_5dac_4817_bf40_2b66f6f593e6_.wvu.cols</definedName>
    <definedName function="false" hidden="true" name="Google_Sheet_Link_429234402_1790948131" vbProcedure="false">z_be54e0ad_3725_4423_92d7_4f1c045be1bc_.wvu.cols</definedName>
    <definedName function="false" hidden="true" name="Google_Sheet_Link_43393812_2143619212" vbProcedure="false">z_be54e0ad_3725_4423_92d7_4f1c045be1bc_.wvu.cols</definedName>
    <definedName function="false" hidden="true" name="Google_Sheet_Link_438867264_1293839573" vbProcedure="false">z_2c0d9096_8d85_462a_a9b5_0b488adb4269_.wvu.cols</definedName>
    <definedName function="false" hidden="true" name="Google_Sheet_Link_450030681_198278843" vbProcedure="false">z_2c0d9096_8d85_462a_a9b5_0b488adb4269_.wvu.cols</definedName>
    <definedName function="false" hidden="true" name="Google_Sheet_Link_463593330_844119199" vbProcedure="false">z_6f1dcd5d_5dac_4817_bf40_2b66f6f593e6_.wvu.printarea</definedName>
    <definedName function="false" hidden="true" name="Google_Sheet_Link_473414285_1782950928" vbProcedure="false">z_be54e0ad_3725_4423_92d7_4f1c045be1bc_.wvu.cols</definedName>
    <definedName function="false" hidden="true" name="Google_Sheet_Link_482242211_821516031" vbProcedure="false">z_be54e0ad_3725_4423_92d7_4f1c045be1bc_.wvu.cols</definedName>
    <definedName function="false" hidden="true" name="Google_Sheet_Link_499091310_739912899" vbProcedure="false">z_be54e0ad_3725_4423_92d7_4f1c045be1bc_.wvu.cols</definedName>
    <definedName function="false" hidden="true" name="Google_Sheet_Link_5033188_1805940178" vbProcedure="false">z_be54e0ad_3725_4423_92d7_4f1c045be1bc_.wvu.cols</definedName>
    <definedName function="false" hidden="true" name="Google_Sheet_Link_503862868_678999383" vbProcedure="false">z_6f1dcd5d_5dac_4817_bf40_2b66f6f593e6_.wvu.cols</definedName>
    <definedName function="false" hidden="true" name="Google_Sheet_Link_514192224_678999383" vbProcedure="false">z_be54e0ad_3725_4423_92d7_4f1c045be1bc_.wvu.cols</definedName>
    <definedName function="false" hidden="true" name="Google_Sheet_Link_532857190_821516031" vbProcedure="false">z_6f1dcd5d_5dac_4817_bf40_2b66f6f593e6_.wvu.cols</definedName>
    <definedName function="false" hidden="true" name="Google_Sheet_Link_544539039_939472920" vbProcedure="false">z_be54e0ad_3725_4423_92d7_4f1c045be1bc_.wvu.cols</definedName>
    <definedName function="false" hidden="true" name="Google_Sheet_Link_548913937_844119199" vbProcedure="false">z_2c0d9096_8d85_462a_a9b5_0b488adb4269_.wvu.printarea</definedName>
    <definedName function="false" hidden="true" name="Google_Sheet_Link_552938915_1874117258" vbProcedure="false">z_2c0d9096_8d85_462a_a9b5_0b488adb4269_.wvu.cols</definedName>
    <definedName function="false" hidden="true" name="Google_Sheet_Link_576366598_668432136" vbProcedure="false">z_2c0d9096_8d85_462a_a9b5_0b488adb4269_.wvu.cols</definedName>
    <definedName function="false" hidden="true" name="Google_Sheet_Link_581823575_1388872311" vbProcedure="false">z_be54e0ad_3725_4423_92d7_4f1c045be1bc_.wvu.cols</definedName>
    <definedName function="false" hidden="true" name="Google_Sheet_Link_60824161_1084291275" vbProcedure="false">z_be54e0ad_3725_4423_92d7_4f1c045be1bc_.wvu.cols</definedName>
    <definedName function="false" hidden="true" name="Google_Sheet_Link_608745795_979423185" vbProcedure="false">z_2c0d9096_8d85_462a_a9b5_0b488adb4269_.wvu.cols</definedName>
    <definedName function="false" hidden="true" name="Google_Sheet_Link_61310909_290334954" vbProcedure="false">z_2c0d9096_8d85_462a_a9b5_0b488adb4269_.wvu.cols</definedName>
    <definedName function="false" hidden="true" name="Google_Sheet_Link_618697129_1009336398" vbProcedure="false">z_6f1dcd5d_5dac_4817_bf40_2b66f6f593e6_.wvu.cols</definedName>
    <definedName function="false" hidden="true" name="Google_Sheet_Link_627723987_1488578411" vbProcedure="false">z_6f1dcd5d_5dac_4817_bf40_2b66f6f593e6_.wvu.cols</definedName>
    <definedName function="false" hidden="true" name="Google_Sheet_Link_634426196_1785444380" vbProcedure="false">z_2c0d9096_8d85_462a_a9b5_0b488adb4269_.wvu.cols</definedName>
    <definedName function="false" hidden="true" name="Google_Sheet_Link_645318786_39597993" vbProcedure="false">z_6f1dcd5d_5dac_4817_bf40_2b66f6f593e6_.wvu.cols</definedName>
    <definedName function="false" hidden="true" name="Google_Sheet_Link_660680907_1935789917" vbProcedure="false">z_be54e0ad_3725_4423_92d7_4f1c045be1bc_.wvu.cols</definedName>
    <definedName function="false" hidden="true" name="Google_Sheet_Link_666105453_617644481" vbProcedure="false">z_be54e0ad_3725_4423_92d7_4f1c045be1bc_.wvu.cols</definedName>
    <definedName function="false" hidden="true" name="Google_Sheet_Link_667740420_1782950928" vbProcedure="false">z_2c0d9096_8d85_462a_a9b5_0b488adb4269_.wvu.cols</definedName>
    <definedName function="false" hidden="true" name="Google_Sheet_Link_669009977_1327392430" vbProcedure="false">z_be54e0ad_3725_4423_92d7_4f1c045be1bc_.wvu.cols</definedName>
    <definedName function="false" hidden="true" name="Google_Sheet_Link_681825931_1327392430" vbProcedure="false">z_6f1dcd5d_5dac_4817_bf40_2b66f6f593e6_.wvu.cols</definedName>
    <definedName function="false" hidden="true" name="Google_Sheet_Link_684889234_1303349963" vbProcedure="false">z_be54e0ad_3725_4423_92d7_4f1c045be1bc_.wvu.cols</definedName>
    <definedName function="false" hidden="true" name="Google_Sheet_Link_689363962_1303349963" vbProcedure="false">z_6f1dcd5d_5dac_4817_bf40_2b66f6f593e6_.wvu.cols</definedName>
    <definedName function="false" hidden="true" name="Google_Sheet_Link_71161492_1841854373" vbProcedure="false">z_2c0d9096_8d85_462a_a9b5_0b488adb4269_.wvu.cols</definedName>
    <definedName function="false" hidden="true" name="Google_Sheet_Link_719180991_455095684" vbProcedure="false">z_be54e0ad_3725_4423_92d7_4f1c045be1bc_.wvu.cols</definedName>
    <definedName function="false" hidden="true" name="Google_Sheet_Link_72032032_1929974499" vbProcedure="false">z_6f1dcd5d_5dac_4817_bf40_2b66f6f593e6_.wvu.cols</definedName>
    <definedName function="false" hidden="true" name="Google_Sheet_Link_72053613_1184389026" vbProcedure="false">z_6f1dcd5d_5dac_4817_bf40_2b66f6f593e6_.wvu.cols</definedName>
    <definedName function="false" hidden="true" name="Google_Sheet_Link_755563675_516098600" vbProcedure="false">z_2c0d9096_8d85_462a_a9b5_0b488adb4269_.wvu.cols</definedName>
    <definedName function="false" hidden="true" name="Google_Sheet_Link_764838951_834373262" vbProcedure="false">z_be54e0ad_3725_4423_92d7_4f1c045be1bc_.wvu.cols</definedName>
    <definedName function="false" hidden="true" name="Google_Sheet_Link_768435513_1083887724" vbProcedure="false">z_6f1dcd5d_5dac_4817_bf40_2b66f6f593e6_.wvu.cols</definedName>
    <definedName function="false" hidden="true" name="Google_Sheet_Link_78282248_372942469" vbProcedure="false">z_2c0d9096_8d85_462a_a9b5_0b488adb4269_.wvu.cols</definedName>
    <definedName function="false" hidden="true" name="Google_Sheet_Link_785811204_979423185" vbProcedure="false">z_6f1dcd5d_5dac_4817_bf40_2b66f6f593e6_.wvu.cols</definedName>
    <definedName function="false" hidden="true" name="Google_Sheet_Link_789418802_2143619212" vbProcedure="false">z_2c0d9096_8d85_462a_a9b5_0b488adb4269_.wvu.cols</definedName>
    <definedName function="false" hidden="true" name="Google_Sheet_Link_79589319_925608506" vbProcedure="false">z_2c0d9096_8d85_462a_a9b5_0b488adb4269_.wvu.cols</definedName>
    <definedName function="false" hidden="true" name="Google_Sheet_Link_801303882_1744835289" vbProcedure="false">z_6f1dcd5d_5dac_4817_bf40_2b66f6f593e6_.wvu.cols</definedName>
    <definedName function="false" hidden="true" name="Google_Sheet_Link_802154984_925608506" vbProcedure="false">z_6f1dcd5d_5dac_4817_bf40_2b66f6f593e6_.wvu.cols</definedName>
    <definedName function="false" hidden="true" name="Google_Sheet_Link_809423600_1317369427" vbProcedure="false">z_6f1dcd5d_5dac_4817_bf40_2b66f6f593e6_.wvu.cols</definedName>
    <definedName function="false" hidden="true" name="Google_Sheet_Link_830351852_286390834" vbProcedure="false">z_be54e0ad_3725_4423_92d7_4f1c045be1bc_.wvu.cols</definedName>
    <definedName function="false" hidden="true" name="Google_Sheet_Link_849044167_678999383" vbProcedure="false">z_2c0d9096_8d85_462a_a9b5_0b488adb4269_.wvu.cols</definedName>
    <definedName function="false" hidden="true" name="Google_Sheet_Link_853669216_372942469" vbProcedure="false">z_be54e0ad_3725_4423_92d7_4f1c045be1bc_.wvu.cols</definedName>
    <definedName function="false" hidden="true" name="Google_Sheet_Link_854059407_290334954" vbProcedure="false">z_6f1dcd5d_5dac_4817_bf40_2b66f6f593e6_.wvu.cols</definedName>
    <definedName function="false" hidden="true" name="Google_Sheet_Link_861421625_716912225" vbProcedure="false">z_be54e0ad_3725_4423_92d7_4f1c045be1bc_.wvu.cols</definedName>
    <definedName function="false" hidden="true" name="Google_Sheet_Link_864626576_131303802" vbProcedure="false">z_2c0d9096_8d85_462a_a9b5_0b488adb4269_.wvu.cols</definedName>
    <definedName function="false" hidden="true" name="Google_Sheet_Link_877807846_939472920" vbProcedure="false">z_2c0d9096_8d85_462a_a9b5_0b488adb4269_.wvu.cols</definedName>
    <definedName function="false" hidden="true" name="Google_Sheet_Link_90181803_962917704" vbProcedure="false">z_2c0d9096_8d85_462a_a9b5_0b488adb4269_.wvu.cols</definedName>
    <definedName function="false" hidden="true" name="Google_Sheet_Link_901963868_871991643" vbProcedure="false">z_6f1dcd5d_5dac_4817_bf40_2b66f6f593e6_.wvu.cols</definedName>
    <definedName function="false" hidden="true" name="Google_Sheet_Link_905860214_1704858171" vbProcedure="false">z_6f1dcd5d_5dac_4817_bf40_2b66f6f593e6_.wvu.cols</definedName>
    <definedName function="false" hidden="true" name="Google_Sheet_Link_913059923_593450707" vbProcedure="false">z_6f1dcd5d_5dac_4817_bf40_2b66f6f593e6_.wvu.cols</definedName>
    <definedName function="false" hidden="true" name="Google_Sheet_Link_920685481_190125111" vbProcedure="false">z_2c0d9096_8d85_462a_a9b5_0b488adb4269_.wvu.cols</definedName>
    <definedName function="false" hidden="true" name="Google_Sheet_Link_923116741_739912899" vbProcedure="false">z_6f1dcd5d_5dac_4817_bf40_2b66f6f593e6_.wvu.cols</definedName>
    <definedName function="false" hidden="true" name="Google_Sheet_Link_928483742_1256991568" vbProcedure="false">z_6f1dcd5d_5dac_4817_bf40_2b66f6f593e6_.wvu.cols</definedName>
    <definedName function="false" hidden="true" name="Google_Sheet_Link_935357178_1785444380" vbProcedure="false">z_6f1dcd5d_5dac_4817_bf40_2b66f6f593e6_.wvu.cols</definedName>
    <definedName function="false" hidden="true" name="Google_Sheet_Link_936214111_593450707" vbProcedure="false">z_2c0d9096_8d85_462a_a9b5_0b488adb4269_.wvu.cols</definedName>
    <definedName function="false" hidden="true" name="Google_Sheet_Link_943415378_323703939" vbProcedure="false">z_2c0d9096_8d85_462a_a9b5_0b488adb4269_.wvu.cols</definedName>
    <definedName function="false" hidden="true" name="Google_Sheet_Link_952388052_1236508880" vbProcedure="false">z_6f1dcd5d_5dac_4817_bf40_2b66f6f593e6_.wvu.cols</definedName>
    <definedName function="false" hidden="true" name="Google_Sheet_Link_969211359_1841854373" vbProcedure="false">z_be54e0ad_3725_4423_92d7_4f1c045be1bc_.wvu.cols</definedName>
    <definedName function="false" hidden="true" name="Google_Sheet_Link_98428813_993305389" vbProcedure="false">z_2c0d9096_8d85_462a_a9b5_0b488adb4269_.wvu.cols</definedName>
    <definedName function="false" hidden="true" name="Google_Sheet_Link_985220066_1704858171" vbProcedure="false">z_be54e0ad_3725_4423_92d7_4f1c045be1bc_.wvu.cols</definedName>
    <definedName function="false" hidden="true" name="Google_Sheet_Link_993830846_2030316757" vbProcedure="false">z_6f1dcd5d_5dac_4817_bf40_2b66f6f593e6_.wvu.cols</definedName>
    <definedName function="false" hidden="true" name="Google_Sheet_Link_999194925_1863638025" vbProcedure="false">z_2c0d9096_8d85_462a_a9b5_0b488adb4269_.wvu.cols</definedName>
    <definedName function="false" hidden="false" localSheetId="2" name="Z_2C0D9096_8D85_462A_A9B5_0B488ADB4269_.wvu.Cols" vbProcedure="false">'UC01-Sign-in with Google'!$E:$E</definedName>
    <definedName function="false" hidden="false" localSheetId="2" name="Z_6F1DCD5D_5DAC_4817_BF40_2B66F6F593E6_.wvu.Cols" vbProcedure="false">'UC01-Sign-in with Google'!$E:$E</definedName>
    <definedName function="false" hidden="false" localSheetId="2" name="Z_BE54E0AD_3725_4423_92D7_4F1C045BE1BC_.wvu.Cols" vbProcedure="false">'UC01-Sign-in with Google'!$E:$E</definedName>
    <definedName function="false" hidden="false" localSheetId="3" name="Z_2C0D9096_8D85_462A_A9B5_0B488ADB4269_.wvu.Cols" vbProcedure="false">'UC02-Logout'!$E:$E</definedName>
    <definedName function="false" hidden="false" localSheetId="3" name="Z_6F1DCD5D_5DAC_4817_BF40_2B66F6F593E6_.wvu.Cols" vbProcedure="false">'UC02-Logout'!$E:$E</definedName>
    <definedName function="false" hidden="false" localSheetId="3" name="Z_BE54E0AD_3725_4423_92D7_4F1C045BE1BC_.wvu.Cols" vbProcedure="false">'UC02-Logout'!$E:$E</definedName>
    <definedName function="false" hidden="false" localSheetId="4" name="Z_2C0D9096_8D85_462A_A9B5_0B488ADB4269_.wvu.Cols" vbProcedure="false">' UC03-View Notification List'!$E:$E</definedName>
    <definedName function="false" hidden="false" localSheetId="4" name="Z_6F1DCD5D_5DAC_4817_BF40_2B66F6F593E6_.wvu.Cols" vbProcedure="false">' UC03-View Notification List'!$E:$E</definedName>
    <definedName function="false" hidden="false" localSheetId="4" name="Z_BE54E0AD_3725_4423_92D7_4F1C045BE1BC_.wvu.Cols" vbProcedure="false">' UC03-View Notification List'!$E:$E</definedName>
    <definedName function="false" hidden="false" localSheetId="5" name="Z_2C0D9096_8D85_462A_A9B5_0B488ADB4269_.wvu.Cols" vbProcedure="false">'UC06-Booking'!$E:$E</definedName>
    <definedName function="false" hidden="false" localSheetId="5" name="Z_6F1DCD5D_5DAC_4817_BF40_2B66F6F593E6_.wvu.Cols" vbProcedure="false">'UC06-Booking'!$E:$E</definedName>
    <definedName function="false" hidden="false" localSheetId="5" name="Z_BE54E0AD_3725_4423_92D7_4F1C045BE1BC_.wvu.Cols" vbProcedure="false">'UC06-Booking'!$E:$E</definedName>
    <definedName function="false" hidden="false" localSheetId="6" name="Z_2C0D9096_8D85_462A_A9B5_0B488ADB4269_.wvu.Cols" vbProcedure="false">'UC10-View EW Usage'!$E:$E</definedName>
    <definedName function="false" hidden="false" localSheetId="6" name="Z_6F1DCD5D_5DAC_4817_BF40_2B66F6F593E6_.wvu.Cols" vbProcedure="false">'UC10-View EW Usage'!$E:$E</definedName>
    <definedName function="false" hidden="false" localSheetId="6" name="Z_BE54E0AD_3725_4423_92D7_4F1C045BE1BC_.wvu.Cols" vbProcedure="false">'UC10-View EW Usage'!$E:$E</definedName>
    <definedName function="false" hidden="false" localSheetId="7" name="Z_2C0D9096_8D85_462A_A9B5_0B488ADB4269_.wvu.Cols" vbProcedure="false">'UC013-Register Visitor Info'!$E:$E</definedName>
    <definedName function="false" hidden="false" localSheetId="7" name="Z_6F1DCD5D_5DAC_4817_BF40_2B66F6F593E6_.wvu.Cols" vbProcedure="false">'UC013-Register Visitor Info'!$E:$E</definedName>
    <definedName function="false" hidden="false" localSheetId="7" name="Z_BE54E0AD_3725_4423_92D7_4F1C045BE1BC_.wvu.Cols" vbProcedure="false">'UC013-Register Visitor Info'!$E:$E</definedName>
    <definedName function="false" hidden="false" localSheetId="8" name="Z_2C0D9096_8D85_462A_A9B5_0B488ADB4269_.wvu.Cols" vbProcedure="false">'UC19-Chat with Manager'!$E:$E</definedName>
    <definedName function="false" hidden="false" localSheetId="8" name="Z_6F1DCD5D_5DAC_4817_BF40_2B66F6F593E6_.wvu.Cols" vbProcedure="false">'UC19-Chat with Manager'!$E:$E</definedName>
    <definedName function="false" hidden="false" localSheetId="8" name="Z_BE54E0AD_3725_4423_92D7_4F1C045BE1BC_.wvu.Cols" vbProcedure="false">'UC19-Chat with Manager'!$E:$E</definedName>
    <definedName function="false" hidden="false" localSheetId="9" name="Z_2C0D9096_8D85_462A_A9B5_0B488ADB4269_.wvu.Cols" vbProcedure="false">'UC29-Login as Student'!$E:$E</definedName>
    <definedName function="false" hidden="false" localSheetId="9" name="Z_6F1DCD5D_5DAC_4817_BF40_2B66F6F593E6_.wvu.Cols" vbProcedure="false">'UC29-Login as Student'!$E:$E</definedName>
    <definedName function="false" hidden="false" localSheetId="9" name="Z_BE54E0AD_3725_4423_92D7_4F1C045BE1BC_.wvu.Cols" vbProcedure="false">'UC29-Login as Student'!$E:$E</definedName>
    <definedName function="false" hidden="false" localSheetId="10" name="Z_2C0D9096_8D85_462A_A9B5_0B488ADB4269_.wvu.Cols" vbProcedure="false">'UC34-Import EW data'!$E:$E</definedName>
    <definedName function="false" hidden="false" localSheetId="10" name="Z_6F1DCD5D_5DAC_4817_BF40_2B66F6F593E6_.wvu.Cols" vbProcedure="false">'UC34-Import EW data'!$E:$E</definedName>
    <definedName function="false" hidden="false" localSheetId="10" name="Z_BE54E0AD_3725_4423_92D7_4F1C045BE1BC_.wvu.Cols" vbProcedure="false">'UC34-Import EW data'!$E:$E</definedName>
    <definedName function="false" hidden="false" localSheetId="11" name="Z_2C0D9096_8D85_462A_A9B5_0B488ADB4269_.wvu.Cols" vbProcedure="false">'UC41-Chat With Student'!$E:$E</definedName>
    <definedName function="false" hidden="false" localSheetId="11" name="Z_6F1DCD5D_5DAC_4817_BF40_2B66F6F593E6_.wvu.Cols" vbProcedure="false">'UC41-Chat With Student'!$E:$E</definedName>
    <definedName function="false" hidden="false" localSheetId="11" name="Z_BE54E0AD_3725_4423_92D7_4F1C045BE1BC_.wvu.Cols" vbProcedure="false">'UC41-Chat With Student'!$E:$E</definedName>
    <definedName function="false" hidden="false" localSheetId="12" name="Z_2C0D9096_8D85_462A_A9B5_0B488ADB4269_.wvu.Cols" vbProcedure="false">'UC44-Export Data'!$E:$E</definedName>
    <definedName function="false" hidden="false" localSheetId="12" name="Z_6F1DCD5D_5DAC_4817_BF40_2B66F6F593E6_.wvu.Cols" vbProcedure="false">'UC44-Export Data'!$E:$E</definedName>
    <definedName function="false" hidden="false" localSheetId="12" name="Z_BE54E0AD_3725_4423_92D7_4F1C045BE1BC_.wvu.Cols" vbProcedure="false">'UC44-Export Data'!$E:$E</definedName>
    <definedName function="false" hidden="false" localSheetId="13" name="Z_2C0D9096_8D85_462A_A9B5_0B488ADB4269_.wvu.Cols" vbProcedure="false">'UC46-View Visitor Info'!$E:$E</definedName>
    <definedName function="false" hidden="false" localSheetId="13" name="Z_6F1DCD5D_5DAC_4817_BF40_2B66F6F593E6_.wvu.Cols" vbProcedure="false">'UC46-View Visitor Info'!$E:$E</definedName>
    <definedName function="false" hidden="false" localSheetId="13" name="Z_BE54E0AD_3725_4423_92D7_4F1C045BE1BC_.wvu.Cols" vbProcedure="false">'UC46-View Visitor Info'!$E:$E</definedName>
    <definedName function="false" hidden="false" localSheetId="14" name="Z_2C0D9096_8D85_462A_A9B5_0B488ADB4269_.wvu.Cols" vbProcedure="false">'UC56-Import User Account'!$E:$E</definedName>
    <definedName function="false" hidden="false" localSheetId="14" name="Z_6F1DCD5D_5DAC_4817_BF40_2B66F6F593E6_.wvu.Cols" vbProcedure="false">'UC56-Import User Account'!$E:$E</definedName>
    <definedName function="false" hidden="false" localSheetId="14" name="Z_BE54E0AD_3725_4423_92D7_4F1C045BE1BC_.wvu.Cols" vbProcedure="false">'UC56-Import User Account'!$E:$E</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<sst xmlns="http://schemas.openxmlformats.org/spreadsheetml/2006/main" count="1395" uniqueCount="290">
  <si>
    <t xml:space="preserve">Guideline to make and understand Unit Test Case</t>
  </si>
  <si>
    <t xml:space="preserve">1. Overview</t>
  </si>
  <si>
    <t xml:space="preserve"> - In the template, Unit test cases are based on functions. Each sheet presents test cases for one function.</t>
  </si>
  <si>
    <t xml:space="preserve"> - Cover: General information of the project and Unit Test cases</t>
  </si>
  <si>
    <t xml:space="preserve"> - FunctionList: The list of Classes and Functions in the document. 
     + To control that the number of Unit TC meets customer's requirement or the norm, user should fill value for  
     'Normal number of Test cases/KLOC'. </t>
  </si>
  <si>
    <t xml:space="preserve">     + Click on Function link to open the related Test cases of the function.  
     Note: You should create new Function sheet before creating the link</t>
  </si>
  <si>
    <t xml:space="preserve"> - Test Report: provive the overview results of Functions Unit test: Test coverage, Test successful coverage 
    (Summary, for normal/abnormal/boundary cases)</t>
  </si>
  <si>
    <t xml:space="preserve">     Note:  Should check the formula of "Sub Total" if you add more functions</t>
  </si>
  <si>
    <t xml:space="preserve">2. Content in Test function sheet</t>
  </si>
  <si>
    <t xml:space="preserve">2.1 Combination of test cases.</t>
  </si>
  <si>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</si>
  <si>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</si>
  <si>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</si>
  <si>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 xml:space="preserve"> 2.2 Condition and confirmation of Test cases.</t>
  </si>
  <si>
    <t xml:space="preserve"> Each test case is the combination of condition and confirmation.</t>
  </si>
  <si>
    <t xml:space="preserve">a. Condition: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</si>
  <si>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</si>
  <si>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</si>
  <si>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</si>
  <si>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</si>
  <si>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Boundary values are limited values that contain upper and lower values.</t>
  </si>
  <si>
    <t xml:space="preserve">                . Abnormal values are non-expected values. And normally it processes exception cases.   </t>
  </si>
  <si>
    <t xml:space="preserve"> </t>
  </si>
  <si>
    <t xml:space="preserve">        - For examples:</t>
  </si>
  <si>
    <t xml:space="preserve">            Input value belongs to 5&lt;= input &lt;=10.</t>
  </si>
  <si>
    <t xml:space="preserve">               . 6,7,8,9 are normal values.</t>
  </si>
  <si>
    <t xml:space="preserve">               . 5, 10 are boundary values.</t>
  </si>
  <si>
    <t xml:space="preserve">               . -1, 11,... are abnormal values.   </t>
  </si>
  <si>
    <t xml:space="preserve">b. Confirmation: </t>
  </si>
  <si>
    <t xml:space="preserve">        - It is combination of expected result to check output of each function. 
          If the results are the same with confirmation, the test case is passed, other case it is failed. </t>
  </si>
  <si>
    <t xml:space="preserve">        - Confirmation can include:</t>
  </si>
  <si>
    <t xml:space="preserve">                + Output result of the function.</t>
  </si>
  <si>
    <t xml:space="preserve">                + Output log messages in log file.</t>
  </si>
  <si>
    <t xml:space="preserve">                + Output screen message...</t>
  </si>
  <si>
    <t xml:space="preserve">c. Type of test cases and result:</t>
  </si>
  <si>
    <t xml:space="preserve">        - Type of test case: It includes normal, boundary and abnormal test cases. User selects the type based on the type of input data.</t>
  </si>
  <si>
    <t xml:space="preserve">        - Test case result: the actual output results comparing with the Confirmation.
                 P for Passed and F for Failed cases.
          It can 'OK' or 'NG' (it depends on habit of the teams or customers)</t>
  </si>
  <si>
    <t xml:space="preserve"> 2.3. Other items:</t>
  </si>
  <si>
    <t xml:space="preserve"> - Function Code: it is ID of the function and updated automatically according to FunctionList sheet.</t>
  </si>
  <si>
    <t xml:space="preserve"> - Function Name: it is name  of the function and updated automatically according to FunctionList sheet.</t>
  </si>
  <si>
    <t xml:space="preserve"> - Created By: Name of creator.</t>
  </si>
  <si>
    <t xml:space="preserve"> - Executed By: Name of person who executes the unit test</t>
  </si>
  <si>
    <t xml:space="preserve"> - Lines of code: Number of Code line of the function.</t>
  </si>
  <si>
    <t xml:space="preserve"> - Test requirement: Brief description about requirements which are tested in this function, it is not mandatory.</t>
  </si>
  <si>
    <t xml:space="preserve">         </t>
  </si>
  <si>
    <t xml:space="preserve">UNIT TEST DOCUMENT</t>
  </si>
  <si>
    <t xml:space="preserve">Project Name</t>
  </si>
  <si>
    <t xml:space="preserve">Building a Student Dormitory Management System at FPT University Danang using ReactJS, NodeJS and MongoDB</t>
  </si>
  <si>
    <t xml:space="preserve">Creator</t>
  </si>
  <si>
    <t xml:space="preserve">TungPT (cá nhân trích xuất từ project nhóm - full team: HienTT, LamPN, TungPT, TungPT17)</t>
  </si>
  <si>
    <t xml:space="preserve">Project Code</t>
  </si>
  <si>
    <t xml:space="preserve">DMS</t>
  </si>
  <si>
    <t xml:space="preserve">Issue Date</t>
  </si>
  <si>
    <t xml:space="preserve">.</t>
  </si>
  <si>
    <t xml:space="preserve">Document Code</t>
  </si>
  <si>
    <t xml:space="preserve">Version</t>
  </si>
  <si>
    <t xml:space="preserve">0.3.1</t>
  </si>
  <si>
    <t xml:space="preserve">Ghi chú</t>
  </si>
  <si>
    <t xml:space="preserve">File này chỉ bao gồm các Unit Test Case do TungPT tự thiết kế (Created By) và thực thi (Executed By) trong dự án nhóm FPT Dormitory Management System (DMS), trích từ báo cáo test đầy đủ của nhóm 4 thành viên.</t>
  </si>
  <si>
    <t xml:space="preserve">Effective Date</t>
  </si>
  <si>
    <t xml:space="preserve">Change Item</t>
  </si>
  <si>
    <t xml:space="preserve">*A,D,M</t>
  </si>
  <si>
    <t xml:space="preserve">Change description</t>
  </si>
  <si>
    <t xml:space="preserve">Reference</t>
  </si>
  <si>
    <t xml:space="preserve">0.0.1</t>
  </si>
  <si>
    <t xml:space="preserve">Test cases sheet</t>
  </si>
  <si>
    <t xml:space="preserve">A</t>
  </si>
  <si>
    <t xml:space="preserve">Add test cases</t>
  </si>
  <si>
    <t xml:space="preserve">None</t>
  </si>
  <si>
    <t xml:space="preserve">0.1.1</t>
  </si>
  <si>
    <t xml:space="preserve">Add test cases for screens</t>
  </si>
  <si>
    <t xml:space="preserve">0.2.1</t>
  </si>
  <si>
    <t xml:space="preserve">M</t>
  </si>
  <si>
    <t xml:space="preserve">Modify test case sheet for screens</t>
  </si>
  <si>
    <t xml:space="preserve">A.M</t>
  </si>
  <si>
    <t xml:space="preserve">A,M</t>
  </si>
  <si>
    <t xml:space="preserve">Update,modify test cases for screens</t>
  </si>
  <si>
    <t xml:space="preserve">Modify, add test case sheet for screens</t>
  </si>
  <si>
    <t xml:space="preserve">0.3.2</t>
  </si>
  <si>
    <t xml:space="preserve">Update the information</t>
  </si>
  <si>
    <t xml:space="preserve">Function Code</t>
  </si>
  <si>
    <t xml:space="preserve">UC01-Sign in via Google</t>
  </si>
  <si>
    <t xml:space="preserve">Function Name</t>
  </si>
  <si>
    <t xml:space="preserve">UTC-UC01-SigninviaGoogle</t>
  </si>
  <si>
    <t xml:space="preserve">Created By</t>
  </si>
  <si>
    <t xml:space="preserve">TungPT</t>
  </si>
  <si>
    <t xml:space="preserve">Executed By</t>
  </si>
  <si>
    <t xml:space="preserve">Lines  of code</t>
  </si>
  <si>
    <t xml:space="preserve">Lack of test cases</t>
  </si>
  <si>
    <t xml:space="preserve">Test requirement</t>
  </si>
  <si>
    <t xml:space="preserve">&lt;Brief description about requirements which are tested in this function&gt;</t>
  </si>
  <si>
    <t xml:space="preserve">Passed</t>
  </si>
  <si>
    <t xml:space="preserve">Failed</t>
  </si>
  <si>
    <t xml:space="preserve">Untested</t>
  </si>
  <si>
    <t xml:space="preserve">N/A/B</t>
  </si>
  <si>
    <t xml:space="preserve">Total Test Cases</t>
  </si>
  <si>
    <t xml:space="preserve">UTCID01</t>
  </si>
  <si>
    <t xml:space="preserve">UTCID02</t>
  </si>
  <si>
    <t xml:space="preserve">UTCID03</t>
  </si>
  <si>
    <t xml:space="preserve">UTCID04</t>
  </si>
  <si>
    <t xml:space="preserve">UTCID05</t>
  </si>
  <si>
    <t xml:space="preserve">UTCID06</t>
  </si>
  <si>
    <t xml:space="preserve">UTCID07</t>
  </si>
  <si>
    <t xml:space="preserve">Condition</t>
  </si>
  <si>
    <t xml:space="preserve">Precondition </t>
  </si>
  <si>
    <t xml:space="preserve">Active pre-registered FPT account</t>
  </si>
  <si>
    <t xml:space="preserve">O</t>
  </si>
  <si>
    <t xml:space="preserve">Account is not in system</t>
  </si>
  <si>
    <t xml:space="preserve">Account is locked</t>
  </si>
  <si>
    <t xml:space="preserve">Authenticated callback payload exists</t>
  </si>
  <si>
    <t xml:space="preserve">Exchange/refresh state is invalid</t>
  </si>
  <si>
    <t xml:space="preserve">Confirm</t>
  </si>
  <si>
    <t xml:space="preserve">Action</t>
  </si>
  <si>
    <t xml:space="preserve">Run Google verify callback</t>
  </si>
  <si>
    <t xml:space="preserve">Run googleCallback redirect</t>
  </si>
  <si>
    <t xml:space="preserve">Run exchange or refresh handler</t>
  </si>
  <si>
    <t xml:space="preserve">Expected Result</t>
  </si>
  <si>
    <t xml:space="preserve">Login/session data is created</t>
  </si>
  <si>
    <t xml:space="preserve">System returns access or token error</t>
  </si>
  <si>
    <t xml:space="preserve">Redirect/refresh behaves correctly</t>
  </si>
  <si>
    <t xml:space="preserve">Result</t>
  </si>
  <si>
    <t xml:space="preserve">Type(N : Normal, A : Abnormal, B : Boundary)</t>
  </si>
  <si>
    <t xml:space="preserve">N</t>
  </si>
  <si>
    <t xml:space="preserve">Passed/Failed</t>
  </si>
  <si>
    <t xml:space="preserve">P</t>
  </si>
  <si>
    <t xml:space="preserve">Executed Date</t>
  </si>
  <si>
    <t xml:space="preserve">Defect ID</t>
  </si>
  <si>
    <t xml:space="preserve">DFID001</t>
  </si>
  <si>
    <t xml:space="preserve">DFID002</t>
  </si>
  <si>
    <t xml:space="preserve">DFID003</t>
  </si>
  <si>
    <t xml:space="preserve">DFID004</t>
  </si>
  <si>
    <t xml:space="preserve">DFID005</t>
  </si>
  <si>
    <t xml:space="preserve">DFID006</t>
  </si>
  <si>
    <t xml:space="preserve">DFID007</t>
  </si>
  <si>
    <t xml:space="preserve">UC05-View News Details</t>
  </si>
  <si>
    <t xml:space="preserve">UTC-UC05-ViewNewsDetails</t>
  </si>
  <si>
    <t xml:space="preserve">HienTT</t>
  </si>
  <si>
    <t xml:space="preserve">Student is logged in</t>
  </si>
  <si>
    <t xml:space="preserve">token exists in localStorage</t>
  </si>
  <si>
    <t xml:space="preserve">refreshToken exists in localStorage</t>
  </si>
  <si>
    <t xml:space="preserve">Other localStorage key exists</t>
  </si>
  <si>
    <t xml:space="preserve">ID</t>
  </si>
  <si>
    <t xml:space="preserve">Auth UI is available</t>
  </si>
  <si>
    <t xml:space="preserve">Click logout</t>
  </si>
  <si>
    <t xml:space="preserve">Run logout handler</t>
  </si>
  <si>
    <t xml:space="preserve">Inspect localStorage after logout</t>
  </si>
  <si>
    <t xml:space="preserve">Exception</t>
  </si>
  <si>
    <t xml:space="preserve">Auth tokens are removed</t>
  </si>
  <si>
    <t xml:space="preserve">Unrelated data remains unchanged</t>
  </si>
  <si>
    <t xml:space="preserve">User session ends safely</t>
  </si>
  <si>
    <t xml:space="preserve">B</t>
  </si>
  <si>
    <t xml:space="preserve">UC03-View Notifications</t>
  </si>
  <si>
    <t xml:space="preserve">Verify notification list loads correctly and supports read-state updates and empty or error states.</t>
  </si>
  <si>
    <t xml:space="preserve">Notification API is down</t>
  </si>
  <si>
    <t xml:space="preserve">Student logged in</t>
  </si>
  <si>
    <t xml:space="preserve">Unread notifications exist</t>
  </si>
  <si>
    <t xml:space="preserve">Only read notifications exist</t>
  </si>
  <si>
    <t xml:space="preserve">No notification exists</t>
  </si>
  <si>
    <t xml:space="preserve">Open notification list</t>
  </si>
  <si>
    <t xml:space="preserve">Open one notification</t>
  </si>
  <si>
    <t xml:space="preserve">Check content and status</t>
  </si>
  <si>
    <t xml:space="preserve">List loads correctly</t>
  </si>
  <si>
    <t xml:space="preserve">Selected item shows correctly</t>
  </si>
  <si>
    <t xml:space="preserve">Empty/error state shows correctly</t>
  </si>
  <si>
    <t xml:space="preserve">UC06-Booking</t>
  </si>
  <si>
    <t xml:space="preserve">Verify booking flow enforces booking window, room eligibility, bed availability, and successful invoice creation.</t>
  </si>
  <si>
    <t xml:space="preserve">Booking window is open</t>
  </si>
  <si>
    <t xml:space="preserve">Booking window is closed</t>
  </si>
  <si>
    <t xml:space="preserve">Room matches student type</t>
  </si>
  <si>
    <t xml:space="preserve">Room type mismatches student</t>
  </si>
  <si>
    <t xml:space="preserve">Selected bed is available</t>
  </si>
  <si>
    <t xml:space="preserve">Load booking filters</t>
  </si>
  <si>
    <t xml:space="preserve">Load beds for selected room</t>
  </si>
  <si>
    <t xml:space="preserve">Submit booking request</t>
  </si>
  <si>
    <t xml:space="preserve">Booking data loads correctly</t>
  </si>
  <si>
    <t xml:space="preserve">System blocks invalid booking</t>
  </si>
  <si>
    <t xml:space="preserve">Booking creates invoice and payment link</t>
  </si>
  <si>
    <t xml:space="preserve">UC10-View EW Usage</t>
  </si>
  <si>
    <t xml:space="preserve">Verify utility usage summary, invoice-based student share, and payment status display for student utilities.</t>
  </si>
  <si>
    <t xml:space="preserve">UTCID08</t>
  </si>
  <si>
    <t xml:space="preserve">Student has no active room</t>
  </si>
  <si>
    <t xml:space="preserve">Student has active room</t>
  </si>
  <si>
    <t xml:space="preserve">Electric EW invoice exists</t>
  </si>
  <si>
    <t xml:space="preserve">Water EW invoice exists</t>
  </si>
  <si>
    <t xml:space="preserve">Unpaid EW invoice exists</t>
  </si>
  <si>
    <t xml:space="preserve">Open utilities page</t>
  </si>
  <si>
    <t xml:space="preserve">Open usage details</t>
  </si>
  <si>
    <t xml:space="preserve">Check utility invoice status</t>
  </si>
  <si>
    <t xml:space="preserve">Usage summary loads correctly</t>
  </si>
  <si>
    <t xml:space="preserve">Student share matches recalculated invoice</t>
  </si>
  <si>
    <t xml:space="preserve">Invoice/payment state aligns with month</t>
  </si>
  <si>
    <t xml:space="preserve">DFID008</t>
  </si>
  <si>
    <t xml:space="preserve">UC13-Register Visitor Info</t>
  </si>
  <si>
    <t xml:space="preserve">Verify visitor request creation validates visit date, visitor count, visitor information, and rollback on failure.</t>
  </si>
  <si>
    <t xml:space="preserve">Visit date is in the future</t>
  </si>
  <si>
    <t xml:space="preserve">Visit date is in the past</t>
  </si>
  <si>
    <t xml:space="preserve">Visitor count exceeds 5</t>
  </si>
  <si>
    <t xml:space="preserve">Visitor info is invalid</t>
  </si>
  <si>
    <t xml:space="preserve">Student is banned from requests</t>
  </si>
  <si>
    <t xml:space="preserve">Visitor creation fails after request create</t>
  </si>
  <si>
    <t xml:space="preserve">Fill visitor request form</t>
  </si>
  <si>
    <t xml:space="preserve">Submit visitor request</t>
  </si>
  <si>
    <t xml:space="preserve">Process backend creation flow</t>
  </si>
  <si>
    <t xml:space="preserve">Visitor request is created</t>
  </si>
  <si>
    <t xml:space="preserve">System blocks invalid request</t>
  </si>
  <si>
    <t xml:space="preserve">Rollback removes orphan request data</t>
  </si>
  <si>
    <t xml:space="preserve">UC19-Chat with Manager</t>
  </si>
  <si>
    <t xml:space="preserve">Open conversation already exists</t>
  </si>
  <si>
    <t xml:space="preserve">No open conversation exists</t>
  </si>
  <si>
    <t xml:space="preserve">Conversation is already assigned</t>
  </si>
  <si>
    <t xml:space="preserve">Conversation is assigned to another manager</t>
  </si>
  <si>
    <t xml:space="preserve">Message body is empty</t>
  </si>
  <si>
    <t xml:space="preserve">Get/create conversation</t>
  </si>
  <si>
    <t xml:space="preserve">Assign or close conversation</t>
  </si>
  <si>
    <t xml:space="preserve">Send message or mark messages as read</t>
  </si>
  <si>
    <t xml:space="preserve">Conversation action succeeds</t>
  </si>
  <si>
    <t xml:space="preserve">System returns permission/validation error</t>
  </si>
  <si>
    <t xml:space="preserve">Message/read state is updated correctly</t>
  </si>
  <si>
    <t xml:space="preserve">UC29-Login as Student</t>
  </si>
  <si>
    <t xml:space="preserve">Manager is authenticated</t>
  </si>
  <si>
    <t xml:space="preserve">Student code exists</t>
  </si>
  <si>
    <t xml:space="preserve">Student has linked user</t>
  </si>
  <si>
    <t xml:space="preserve">Student account is active</t>
  </si>
  <si>
    <t xml:space="preserve">Student code does not exist</t>
  </si>
  <si>
    <t xml:space="preserve">Open login-as-student form</t>
  </si>
  <si>
    <t xml:space="preserve">Submit student code</t>
  </si>
  <si>
    <t xml:space="preserve">Process impersonation on backend</t>
  </si>
  <si>
    <t xml:space="preserve">Student session is returned</t>
  </si>
  <si>
    <t xml:space="preserve">System reports student lookup/account error</t>
  </si>
  <si>
    <t xml:space="preserve">Inactive student is rejected</t>
  </si>
  <si>
    <t xml:space="preserve">UC34-Import EW Data</t>
  </si>
  <si>
    <t xml:space="preserve">Verify manager can import valid electric/water data, detect duplicates, validate rows, and handle meter anomalies safely.</t>
  </si>
  <si>
    <t xml:space="preserve">Import file is valid</t>
  </si>
  <si>
    <t xml:space="preserve">Duplicate month exists in file</t>
  </si>
  <si>
    <t xml:space="preserve">Duplicate month exists in database</t>
  </si>
  <si>
    <t xml:space="preserve">Imported row format is invalid</t>
  </si>
  <si>
    <t xml:space="preserve">Date is older than allowed range</t>
  </si>
  <si>
    <t xml:space="preserve">Meter lower than previous meter</t>
  </si>
  <si>
    <t xml:space="preserve">Upload EW file</t>
  </si>
  <si>
    <t xml:space="preserve">Validate import rows</t>
  </si>
  <si>
    <t xml:space="preserve">Create EW usages and billing</t>
  </si>
  <si>
    <t xml:space="preserve">EW data imports successfully</t>
  </si>
  <si>
    <t xml:space="preserve">System reports duplicate or validation error</t>
  </si>
  <si>
    <t xml:space="preserve">Low meter anomaly is handled safely</t>
  </si>
  <si>
    <t xml:space="preserve">UC41-Chat with Student</t>
  </si>
  <si>
    <t xml:space="preserve">Verify admin can import valid student/staff accounts and the system reports template, duplicate, mixed-row, and rollback errors correctly.</t>
  </si>
  <si>
    <t xml:space="preserve">Open conversations exist</t>
  </si>
  <si>
    <t xml:space="preserve">Conversation is free to assign</t>
  </si>
  <si>
    <t xml:space="preserve">Messages exist in conversation</t>
  </si>
  <si>
    <t xml:space="preserve">Open manager chat inbox</t>
  </si>
  <si>
    <t xml:space="preserve">Load conversation messages</t>
  </si>
  <si>
    <t xml:space="preserve">Conversation list loads correctly</t>
  </si>
  <si>
    <t xml:space="preserve">Permission rules are enforced correctly</t>
  </si>
  <si>
    <t xml:space="preserve">Messages and notifications update correctly</t>
  </si>
  <si>
    <t xml:space="preserve">UC44-Export Data</t>
  </si>
  <si>
    <t xml:space="preserve">Filtered EW data exists</t>
  </si>
  <si>
    <t xml:space="preserve">Export service can build workbook</t>
  </si>
  <si>
    <t xml:space="preserve">HTTP response object is available</t>
  </si>
  <si>
    <t xml:space="preserve">Frontend has valid access token</t>
  </si>
  <si>
    <t xml:space="preserve">Call export service/controller</t>
  </si>
  <si>
    <t xml:space="preserve">Set download response headers</t>
  </si>
  <si>
    <t xml:space="preserve">Trigger frontend export download</t>
  </si>
  <si>
    <t xml:space="preserve">Workbook contains expected filtered data</t>
  </si>
  <si>
    <t xml:space="preserve">Response headers/file name are correct</t>
  </si>
  <si>
    <t xml:space="preserve">Frontend download request is authorized</t>
  </si>
  <si>
    <t xml:space="preserve">UC46-View Visitor Info</t>
  </si>
  <si>
    <t xml:space="preserve">Security user is authenticated</t>
  </si>
  <si>
    <t xml:space="preserve">Approved request exists</t>
  </si>
  <si>
    <t xml:space="preserve">Active checked-in visitor exists</t>
  </si>
  <si>
    <t xml:space="preserve">Visitor identity data exists</t>
  </si>
  <si>
    <t xml:space="preserve">Request or visitor is missing</t>
  </si>
  <si>
    <t xml:space="preserve">Open approved visitor detail</t>
  </si>
  <si>
    <t xml:space="preserve">Open active visitor list</t>
  </si>
  <si>
    <t xml:space="preserve">Inspect visitor identity information</t>
  </si>
  <si>
    <t xml:space="preserve">Visitor information is displayed</t>
  </si>
  <si>
    <t xml:space="preserve">Active visitor list loads correctly</t>
  </si>
  <si>
    <t xml:space="preserve">Missing visitor data is handled safely</t>
  </si>
  <si>
    <t xml:space="preserve">UC56-Import User Account</t>
  </si>
  <si>
    <t xml:space="preserve">Admin is authenticated</t>
  </si>
  <si>
    <t xml:space="preserve">Import template is valid</t>
  </si>
  <si>
    <t xml:space="preserve">Duplicate email exists</t>
  </si>
  <si>
    <t xml:space="preserve">Required columns are missing</t>
  </si>
  <si>
    <t xml:space="preserve">Profile creation can fail after user create</t>
  </si>
  <si>
    <t xml:space="preserve">Student profile creation fails after user create</t>
  </si>
  <si>
    <t xml:space="preserve">Upload import file</t>
  </si>
  <si>
    <t xml:space="preserve">Parse and validate rows</t>
  </si>
  <si>
    <t xml:space="preserve">Create user and profile records</t>
  </si>
  <si>
    <t xml:space="preserve">Users are imported successfully</t>
  </si>
  <si>
    <t xml:space="preserve">System reports import validation summary</t>
  </si>
  <si>
    <t xml:space="preserve">Orphan users are removed on failure</t>
  </si>
</sst>
</file>

<file path=xl/styles.xml><?xml version="1.0" encoding="utf-8"?>
<styleSheet xmlns="http://schemas.openxmlformats.org/spreadsheetml/2006/main">
  <numFmts count="7">
    <numFmt numFmtId="164" formatCode="General"/>
    <numFmt numFmtId="165" formatCode="d/m/yyyy"/>
    <numFmt numFmtId="166" formatCode="d\-mmm\-yy"/>
    <numFmt numFmtId="167" formatCode="@"/>
    <numFmt numFmtId="168" formatCode="General"/>
    <numFmt numFmtId="169" formatCode="mm/dd"/>
    <numFmt numFmtId="170" formatCode="dd/mm/yyyy"/>
  </numFmts>
  <fonts count="29">
    <font>
      <sz val="11"/>
      <color rgb="FF000000"/>
      <name val="MS PGothic"/>
      <family val="0"/>
      <charset val="1"/>
    </font>
    <font>
      <sz val="10"/>
      <name val="Arial"/>
      <family val="0"/>
    </font>
    <font>
      <sz val="10"/>
      <name val="Arial"/>
      <family val="0"/>
    </font>
    <font>
      <sz val="10"/>
      <name val="Arial"/>
      <family val="0"/>
    </font>
    <font>
      <b val="true"/>
      <sz val="18"/>
      <color theme="1"/>
      <name val="Tahoma"/>
      <family val="0"/>
      <charset val="1"/>
    </font>
    <font>
      <b val="true"/>
      <sz val="11"/>
      <color theme="1"/>
      <name val="Tahoma"/>
      <family val="0"/>
      <charset val="1"/>
    </font>
    <font>
      <b val="true"/>
      <sz val="12"/>
      <color theme="1"/>
      <name val="Tahoma"/>
      <family val="0"/>
      <charset val="1"/>
    </font>
    <font>
      <b val="true"/>
      <sz val="14"/>
      <color theme="1"/>
      <name val="Tahoma"/>
      <family val="0"/>
      <charset val="1"/>
    </font>
    <font>
      <sz val="10"/>
      <color theme="1"/>
      <name val="Tahoma"/>
      <family val="0"/>
      <charset val="1"/>
    </font>
    <font>
      <sz val="11"/>
      <color theme="1"/>
      <name val="Tahoma"/>
      <family val="0"/>
      <charset val="1"/>
    </font>
    <font>
      <i val="true"/>
      <sz val="10"/>
      <color theme="1"/>
      <name val="Tahoma"/>
      <family val="0"/>
      <charset val="1"/>
    </font>
    <font>
      <i val="true"/>
      <sz val="11"/>
      <color theme="1"/>
      <name val="Tahoma"/>
      <family val="0"/>
      <charset val="1"/>
    </font>
    <font>
      <b val="true"/>
      <sz val="10"/>
      <color theme="1"/>
      <name val="Tahoma"/>
      <family val="0"/>
      <charset val="1"/>
    </font>
    <font>
      <b val="true"/>
      <sz val="26"/>
      <color rgb="FFFF0000"/>
      <name val="Tahoma"/>
      <family val="0"/>
      <charset val="1"/>
    </font>
    <font>
      <b val="true"/>
      <sz val="20"/>
      <color rgb="FF000000"/>
      <name val="Tahoma"/>
      <family val="0"/>
      <charset val="1"/>
    </font>
    <font>
      <b val="true"/>
      <sz val="10"/>
      <color rgb="FF993300"/>
      <name val="Tahoma"/>
      <family val="0"/>
      <charset val="1"/>
    </font>
    <font>
      <i val="true"/>
      <sz val="10"/>
      <color rgb="FF008000"/>
      <name val="Tahoma"/>
      <family val="0"/>
      <charset val="1"/>
    </font>
    <font>
      <b val="true"/>
      <sz val="11"/>
      <name val="Cambria"/>
      <family val="0"/>
      <charset val="1"/>
    </font>
    <font>
      <b val="true"/>
      <sz val="10"/>
      <color rgb="FFFFFFFF"/>
      <name val="Tahoma"/>
      <family val="0"/>
      <charset val="1"/>
    </font>
    <font>
      <sz val="11"/>
      <color theme="1"/>
      <name val="MS PGothic"/>
      <family val="0"/>
      <charset val="1"/>
    </font>
    <font>
      <b val="true"/>
      <sz val="8"/>
      <color theme="1"/>
      <name val="Tahoma"/>
      <family val="0"/>
      <charset val="1"/>
    </font>
    <font>
      <i val="true"/>
      <sz val="8"/>
      <color theme="1"/>
      <name val="Tahoma"/>
      <family val="0"/>
      <charset val="1"/>
    </font>
    <font>
      <sz val="8"/>
      <color theme="1"/>
      <name val="Tahoma"/>
      <family val="0"/>
      <charset val="1"/>
    </font>
    <font>
      <b val="true"/>
      <sz val="8"/>
      <color rgb="FFFFFFFF"/>
      <name val="Tahoma"/>
      <family val="0"/>
      <charset val="1"/>
    </font>
    <font>
      <sz val="8"/>
      <color rgb="FFFFFFFF"/>
      <name val="Tahoma"/>
      <family val="0"/>
      <charset val="1"/>
    </font>
    <font>
      <b val="true"/>
      <sz val="12"/>
      <color theme="1"/>
      <name val="Courier New"/>
      <family val="0"/>
      <charset val="1"/>
    </font>
    <font>
      <sz val="8"/>
      <color rgb="FF000000"/>
      <name val="Tahoma"/>
      <family val="0"/>
      <charset val="1"/>
    </font>
    <font>
      <sz val="8"/>
      <color theme="1"/>
      <name val="Courier New"/>
      <family val="0"/>
      <charset val="1"/>
    </font>
    <font>
      <sz val="8"/>
      <color rgb="FF008000"/>
      <name val="Tahoma"/>
      <family val="0"/>
      <charset val="1"/>
    </font>
  </fonts>
  <fills count="6">
    <fill>
      <patternFill patternType="none"/>
    </fill>
    <fill>
      <patternFill patternType="gray125"/>
    </fill>
    <fill>
      <patternFill patternType="solid">
        <fgColor rgb="FFCCFFCC"/>
        <bgColor rgb="FFCCFFFF"/>
      </patternFill>
    </fill>
    <fill>
      <patternFill patternType="solid">
        <fgColor rgb="FFFFFFFF"/>
        <bgColor rgb="FFFFFFCC"/>
      </patternFill>
    </fill>
    <fill>
      <patternFill patternType="solid">
        <fgColor rgb="FF000080"/>
        <bgColor rgb="FF000080"/>
      </patternFill>
    </fill>
    <fill>
      <patternFill patternType="solid">
        <fgColor rgb="FFFF9900"/>
        <bgColor rgb="FFFFCC00"/>
      </patternFill>
    </fill>
  </fills>
  <borders count="46">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right/>
      <top/>
      <bottom style="medium"/>
      <diagonal/>
    </border>
    <border diagonalUp="false" diagonalDown="false">
      <left style="medium"/>
      <right/>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bottom style="thin"/>
      <diagonal/>
    </border>
    <border diagonalUp="false" diagonalDown="false">
      <left/>
      <right/>
      <top/>
      <bottom style="thin"/>
      <diagonal/>
    </border>
    <border diagonalUp="false" diagonalDown="false">
      <left/>
      <right style="medium"/>
      <top/>
      <bottom style="thin"/>
      <diagonal/>
    </border>
    <border diagonalUp="false" diagonalDown="false">
      <left/>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top/>
      <bottom/>
      <diagonal/>
    </border>
    <border diagonalUp="false" diagonalDown="false">
      <left style="double"/>
      <right style="hair"/>
      <top style="double"/>
      <bottom style="medium">
        <color rgb="FFFFFFFF"/>
      </bottom>
      <diagonal/>
    </border>
    <border diagonalUp="false" diagonalDown="false">
      <left/>
      <right/>
      <top style="double"/>
      <bottom style="medium">
        <color rgb="FFFFFFFF"/>
      </bottom>
      <diagonal/>
    </border>
    <border diagonalUp="false" diagonalDown="false">
      <left style="double"/>
      <right style="thin"/>
      <top style="medium">
        <color rgb="FFFFFFFF"/>
      </top>
      <bottom/>
      <diagonal/>
    </border>
    <border diagonalUp="false" diagonalDown="false">
      <left style="thin"/>
      <right/>
      <top/>
      <bottom style="thin"/>
      <diagonal/>
    </border>
    <border diagonalUp="false" diagonalDown="false">
      <left/>
      <right style="thin"/>
      <top/>
      <bottom style="thin"/>
      <diagonal/>
    </border>
    <border diagonalUp="false" diagonalDown="false">
      <left style="double"/>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double"/>
      <bottom style="thin"/>
      <diagonal/>
    </border>
    <border diagonalUp="false" diagonalDown="false">
      <left style="double"/>
      <right style="thin"/>
      <top/>
      <bottom style="double"/>
      <diagonal/>
    </border>
    <border diagonalUp="false" diagonalDown="false">
      <left style="thin"/>
      <right style="thin"/>
      <top style="thin"/>
      <bottom style="double"/>
      <diagonal/>
    </border>
    <border diagonalUp="false" diagonalDown="false">
      <left style="medium"/>
      <right style="thin"/>
      <top style="medium"/>
      <bottom style="thin"/>
      <diagonal/>
    </border>
    <border diagonalUp="false" diagonalDown="false">
      <left style="medium"/>
      <right style="thin"/>
      <top/>
      <bottom style="thin"/>
      <diagonal/>
    </border>
    <border diagonalUp="false" diagonalDown="false">
      <left style="double"/>
      <right/>
      <top style="double"/>
      <bottom/>
      <diagonal/>
    </border>
    <border diagonalUp="false" diagonalDown="false">
      <left/>
      <right/>
      <top style="double"/>
      <bottom style="thin"/>
      <diagonal/>
    </border>
    <border diagonalUp="false" diagonalDown="false">
      <left/>
      <right style="thin"/>
      <top/>
      <bottom/>
      <diagonal/>
    </border>
    <border diagonalUp="false" diagonalDown="false">
      <left style="thin"/>
      <right/>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left" vertical="bottom" textRotation="0" wrapText="tru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5" fillId="3"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2" fillId="3" borderId="2" xfId="0" applyFont="true" applyBorder="true" applyAlignment="true" applyProtection="false">
      <alignment horizontal="left" vertical="bottom" textRotation="0" wrapText="false" indent="0" shrinkToFit="false"/>
      <protection locked="true" hidden="false"/>
    </xf>
    <xf numFmtId="164" fontId="10" fillId="0" borderId="2" xfId="0" applyFont="true" applyBorder="true" applyAlignment="true" applyProtection="false">
      <alignment horizontal="left" vertical="bottom" textRotation="0" wrapText="false" indent="0" shrinkToFit="false"/>
      <protection locked="true" hidden="false"/>
    </xf>
    <xf numFmtId="164" fontId="12" fillId="0" borderId="3" xfId="0" applyFont="true" applyBorder="true" applyAlignment="true" applyProtection="false">
      <alignment horizontal="general" vertical="bottom" textRotation="0" wrapText="false" indent="0" shrinkToFit="false"/>
      <protection locked="true" hidden="false"/>
    </xf>
    <xf numFmtId="165" fontId="10" fillId="0" borderId="3" xfId="0" applyFont="true" applyBorder="true" applyAlignment="true" applyProtection="false">
      <alignment horizontal="left" vertical="bottom" textRotation="0" wrapText="false" indent="0" shrinkToFit="false"/>
      <protection locked="true" hidden="false"/>
    </xf>
    <xf numFmtId="164" fontId="12" fillId="3"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4" fontId="10" fillId="0" borderId="3"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6" fontId="18" fillId="4" borderId="4" xfId="0" applyFont="true" applyBorder="true" applyAlignment="true" applyProtection="false">
      <alignment horizontal="center" vertical="center" textRotation="0" wrapText="false" indent="0" shrinkToFit="false"/>
      <protection locked="true" hidden="false"/>
    </xf>
    <xf numFmtId="164" fontId="18" fillId="4" borderId="5" xfId="0" applyFont="true" applyBorder="true" applyAlignment="true" applyProtection="false">
      <alignment horizontal="center" vertical="center" textRotation="0" wrapText="false" indent="0" shrinkToFit="false"/>
      <protection locked="true" hidden="false"/>
    </xf>
    <xf numFmtId="164" fontId="18" fillId="4" borderId="6"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5" fontId="10" fillId="0" borderId="7" xfId="0" applyFont="true" applyBorder="true" applyAlignment="true" applyProtection="false">
      <alignment horizontal="left" vertical="center" textRotation="0" wrapText="true" indent="0" shrinkToFit="false"/>
      <protection locked="true" hidden="false"/>
    </xf>
    <xf numFmtId="167" fontId="8" fillId="0" borderId="8" xfId="0" applyFont="true" applyBorder="true" applyAlignment="true" applyProtection="false">
      <alignment horizontal="general" vertical="center" textRotation="0" wrapText="false" indent="0" shrinkToFit="false"/>
      <protection locked="true" hidden="false"/>
    </xf>
    <xf numFmtId="164" fontId="8" fillId="0" borderId="8" xfId="0" applyFont="true" applyBorder="true" applyAlignment="true" applyProtection="false">
      <alignment horizontal="general" vertical="center" textRotation="0" wrapText="false" indent="0" shrinkToFit="false"/>
      <protection locked="true" hidden="false"/>
    </xf>
    <xf numFmtId="164" fontId="10" fillId="0" borderId="9"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5" fontId="10" fillId="0" borderId="7" xfId="0" applyFont="true" applyBorder="true" applyAlignment="true" applyProtection="false">
      <alignment horizontal="left" vertical="top" textRotation="0" wrapText="true" indent="0" shrinkToFit="false"/>
      <protection locked="true" hidden="false"/>
    </xf>
    <xf numFmtId="164" fontId="8" fillId="0" borderId="8" xfId="0" applyFont="true" applyBorder="true" applyAlignment="true" applyProtection="false">
      <alignment horizontal="general" vertical="top" textRotation="0" wrapText="false" indent="0" shrinkToFit="false"/>
      <protection locked="true" hidden="false"/>
    </xf>
    <xf numFmtId="164" fontId="19" fillId="0" borderId="1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3" borderId="11" xfId="0" applyFont="true" applyBorder="true" applyAlignment="true" applyProtection="false">
      <alignment horizontal="general" vertical="bottom" textRotation="0" wrapText="true" indent="0" shrinkToFit="false"/>
      <protection locked="true" hidden="false"/>
    </xf>
    <xf numFmtId="167" fontId="21" fillId="3" borderId="12" xfId="0" applyFont="true" applyBorder="true" applyAlignment="true" applyProtection="false">
      <alignment horizontal="general" vertical="bottom" textRotation="0" wrapText="true" indent="0" shrinkToFit="false"/>
      <protection locked="true" hidden="false"/>
    </xf>
    <xf numFmtId="164" fontId="20" fillId="3" borderId="13" xfId="0" applyFont="true" applyBorder="true" applyAlignment="true" applyProtection="false">
      <alignment horizontal="general" vertical="bottom" textRotation="0" wrapText="true" indent="0" shrinkToFit="false"/>
      <protection locked="true" hidden="false"/>
    </xf>
    <xf numFmtId="167" fontId="22" fillId="3" borderId="14" xfId="0" applyFont="true" applyBorder="true" applyAlignment="true" applyProtection="false">
      <alignment horizontal="general" vertical="bottom" textRotation="0" wrapText="tru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4" fontId="20" fillId="3" borderId="15" xfId="0" applyFont="true" applyBorder="true" applyAlignment="true" applyProtection="false">
      <alignment horizontal="general" vertical="bottom" textRotation="0" wrapText="true" indent="0" shrinkToFit="false"/>
      <protection locked="true" hidden="false"/>
    </xf>
    <xf numFmtId="164" fontId="21" fillId="3" borderId="16" xfId="0" applyFont="true" applyBorder="true" applyAlignment="true" applyProtection="false">
      <alignment horizontal="general" vertical="bottom" textRotation="0" wrapText="true" indent="0" shrinkToFit="false"/>
      <protection locked="true" hidden="false"/>
    </xf>
    <xf numFmtId="164" fontId="20" fillId="3" borderId="2" xfId="0" applyFont="true" applyBorder="true" applyAlignment="true" applyProtection="false">
      <alignment horizontal="general" vertical="bottom" textRotation="0" wrapText="true" indent="0" shrinkToFit="false"/>
      <protection locked="true" hidden="false"/>
    </xf>
    <xf numFmtId="164" fontId="21" fillId="3" borderId="17" xfId="0" applyFont="true" applyBorder="true" applyAlignment="true" applyProtection="false">
      <alignment horizontal="general" vertical="bottom" textRotation="0" wrapText="true" indent="0" shrinkToFit="false"/>
      <protection locked="true" hidden="false"/>
    </xf>
    <xf numFmtId="164" fontId="19" fillId="3" borderId="17" xfId="0" applyFont="true" applyBorder="true" applyAlignment="true" applyProtection="false">
      <alignment horizontal="general" vertical="bottom" textRotation="0" wrapText="false" indent="0" shrinkToFit="false"/>
      <protection locked="true" hidden="false"/>
    </xf>
    <xf numFmtId="164" fontId="19" fillId="3" borderId="18" xfId="0" applyFont="true" applyBorder="true" applyAlignment="true" applyProtection="false">
      <alignment horizontal="general" vertical="bottom" textRotation="0" wrapText="false" indent="0" shrinkToFit="false"/>
      <protection locked="true" hidden="false"/>
    </xf>
    <xf numFmtId="164" fontId="21" fillId="3" borderId="1" xfId="0" applyFont="true" applyBorder="true" applyAlignment="true" applyProtection="false">
      <alignment horizontal="center" vertical="bottom" textRotation="0" wrapText="true" indent="0" shrinkToFit="false"/>
      <protection locked="true" hidden="false"/>
    </xf>
    <xf numFmtId="164" fontId="19" fillId="3" borderId="19" xfId="0" applyFont="true" applyBorder="true" applyAlignment="true" applyProtection="false">
      <alignment horizontal="general" vertical="bottom" textRotation="0" wrapText="false" indent="0" shrinkToFit="false"/>
      <protection locked="true" hidden="false"/>
    </xf>
    <xf numFmtId="164" fontId="22" fillId="3" borderId="20" xfId="0" applyFont="true" applyBorder="true" applyAlignment="true" applyProtection="false">
      <alignment horizontal="center" vertical="bottom" textRotation="0" wrapText="true" indent="0" shrinkToFit="false"/>
      <protection locked="true" hidden="false"/>
    </xf>
    <xf numFmtId="164" fontId="21" fillId="3" borderId="20" xfId="0" applyFont="true" applyBorder="true" applyAlignment="true" applyProtection="false">
      <alignment horizontal="general" vertical="bottom" textRotation="0" wrapText="true" indent="0" shrinkToFit="false"/>
      <protection locked="true" hidden="false"/>
    </xf>
    <xf numFmtId="164" fontId="20" fillId="3" borderId="15" xfId="0" applyFont="true" applyBorder="true" applyAlignment="true" applyProtection="false">
      <alignment horizontal="center" vertical="center" textRotation="0" wrapText="false" indent="0" shrinkToFit="false"/>
      <protection locked="true" hidden="false"/>
    </xf>
    <xf numFmtId="164" fontId="20" fillId="3" borderId="2" xfId="0" applyFont="true" applyBorder="true" applyAlignment="true" applyProtection="false">
      <alignment horizontal="center" vertical="center" textRotation="0" wrapText="true" indent="0" shrinkToFit="false"/>
      <protection locked="true" hidden="false"/>
    </xf>
    <xf numFmtId="164" fontId="20" fillId="3" borderId="19" xfId="0" applyFont="true" applyBorder="true" applyAlignment="true" applyProtection="false">
      <alignment horizontal="center" vertical="center" textRotation="0" wrapText="true" indent="0" shrinkToFit="false"/>
      <protection locked="true" hidden="false"/>
    </xf>
    <xf numFmtId="164" fontId="20" fillId="3" borderId="20" xfId="0" applyFont="true" applyBorder="true" applyAlignment="true" applyProtection="false">
      <alignment horizontal="center" vertical="center" textRotation="0" wrapText="true" indent="0" shrinkToFit="false"/>
      <protection locked="true" hidden="false"/>
    </xf>
    <xf numFmtId="168" fontId="22" fillId="3" borderId="21" xfId="0" applyFont="true" applyBorder="true" applyAlignment="true" applyProtection="false">
      <alignment horizontal="center" vertical="center" textRotation="0" wrapText="false" indent="0" shrinkToFit="false"/>
      <protection locked="true" hidden="false"/>
    </xf>
    <xf numFmtId="168" fontId="22" fillId="3" borderId="22" xfId="0" applyFont="true" applyBorder="true" applyAlignment="true" applyProtection="false">
      <alignment horizontal="center" vertical="center" textRotation="0" wrapText="false" indent="0" shrinkToFit="false"/>
      <protection locked="true" hidden="false"/>
    </xf>
    <xf numFmtId="168" fontId="22" fillId="3" borderId="23" xfId="0" applyFont="true" applyBorder="true" applyAlignment="true" applyProtection="false">
      <alignment horizontal="center" vertical="center" textRotation="0" wrapText="false" indent="0" shrinkToFit="false"/>
      <protection locked="true" hidden="false"/>
    </xf>
    <xf numFmtId="168" fontId="22" fillId="3" borderId="24" xfId="0" applyFont="true" applyBorder="true" applyAlignment="true" applyProtection="false">
      <alignment horizontal="center" vertical="center" textRotation="0" wrapText="false" indent="0" shrinkToFit="false"/>
      <protection locked="true" hidden="false"/>
    </xf>
    <xf numFmtId="164" fontId="19" fillId="0" borderId="25" xfId="0" applyFont="true" applyBorder="true" applyAlignment="true" applyProtection="false">
      <alignment horizontal="general" vertical="bottom" textRotation="0" wrapText="false" indent="0" shrinkToFit="false"/>
      <protection locked="true" hidden="false"/>
    </xf>
    <xf numFmtId="166" fontId="19" fillId="4" borderId="26" xfId="0" applyFont="true" applyBorder="true" applyAlignment="true" applyProtection="false">
      <alignment horizontal="general" vertical="center" textRotation="0" wrapText="false" indent="0" shrinkToFit="false"/>
      <protection locked="true" hidden="false"/>
    </xf>
    <xf numFmtId="164" fontId="19" fillId="4" borderId="27" xfId="0" applyFont="true" applyBorder="true" applyAlignment="true" applyProtection="false">
      <alignment horizontal="general" vertical="bottom" textRotation="0" wrapText="false" indent="0" shrinkToFit="false"/>
      <protection locked="true" hidden="false"/>
    </xf>
    <xf numFmtId="164" fontId="23" fillId="4" borderId="27" xfId="0" applyFont="true" applyBorder="true" applyAlignment="true" applyProtection="false">
      <alignment horizontal="right" vertical="top" textRotation="180" wrapText="false" indent="0" shrinkToFit="false"/>
      <protection locked="true" hidden="false"/>
    </xf>
    <xf numFmtId="164" fontId="23" fillId="4" borderId="28" xfId="0" applyFont="true" applyBorder="true" applyAlignment="true" applyProtection="false">
      <alignment horizontal="general" vertical="center" textRotation="0" wrapText="false" indent="0" shrinkToFit="false"/>
      <protection locked="true" hidden="false"/>
    </xf>
    <xf numFmtId="164" fontId="20" fillId="3" borderId="29" xfId="0" applyFont="true" applyBorder="true" applyAlignment="true" applyProtection="false">
      <alignment horizontal="general" vertical="top" textRotation="0" wrapText="false" indent="0" shrinkToFit="false"/>
      <protection locked="true" hidden="false"/>
    </xf>
    <xf numFmtId="164" fontId="19" fillId="3" borderId="17" xfId="0" applyFont="true" applyBorder="true" applyAlignment="true" applyProtection="false">
      <alignment horizontal="general" vertical="top" textRotation="0" wrapText="false" indent="0" shrinkToFit="false"/>
      <protection locked="true" hidden="false"/>
    </xf>
    <xf numFmtId="164" fontId="19" fillId="3" borderId="30" xfId="0" applyFont="true" applyBorder="true" applyAlignment="true" applyProtection="false">
      <alignment horizontal="general" vertical="top"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9" fillId="0" borderId="16" xfId="0" applyFont="true" applyBorder="true" applyAlignment="true" applyProtection="false">
      <alignment horizontal="general" vertical="bottom" textRotation="0" wrapText="false" indent="0" shrinkToFit="false"/>
      <protection locked="true" hidden="false"/>
    </xf>
    <xf numFmtId="164" fontId="19" fillId="4" borderId="31" xfId="0" applyFont="true" applyBorder="true" applyAlignment="true" applyProtection="false">
      <alignment horizontal="general" vertical="center" textRotation="0" wrapText="false" indent="0" shrinkToFit="false"/>
      <protection locked="true" hidden="false"/>
    </xf>
    <xf numFmtId="164" fontId="19" fillId="3" borderId="1" xfId="0" applyFont="true" applyBorder="true" applyAlignment="true" applyProtection="false">
      <alignment horizontal="general" vertical="top" textRotation="0" wrapText="false" indent="0" shrinkToFit="false"/>
      <protection locked="true" hidden="false"/>
    </xf>
    <xf numFmtId="164" fontId="19" fillId="3" borderId="19" xfId="0" applyFont="true" applyBorder="true" applyAlignment="true" applyProtection="false">
      <alignment horizontal="general" vertical="top" textRotation="0" wrapText="false" indent="0" shrinkToFit="false"/>
      <protection locked="true" hidden="false"/>
    </xf>
    <xf numFmtId="164" fontId="22" fillId="3" borderId="3" xfId="0" applyFont="true" applyBorder="true" applyAlignment="true" applyProtection="false">
      <alignment horizontal="right" vertical="top"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9" fillId="0" borderId="16"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19" fillId="3" borderId="29" xfId="0" applyFont="true" applyBorder="true" applyAlignment="true" applyProtection="false">
      <alignment horizontal="general" vertical="top" textRotation="0" wrapText="false" indent="0" shrinkToFit="false"/>
      <protection locked="true" hidden="false"/>
    </xf>
    <xf numFmtId="164" fontId="22" fillId="3" borderId="30" xfId="0" applyFont="true" applyBorder="true" applyAlignment="true" applyProtection="false">
      <alignment horizontal="right" vertical="top" textRotation="0" wrapText="false" indent="0" shrinkToFit="false"/>
      <protection locked="true" hidden="false"/>
    </xf>
    <xf numFmtId="164" fontId="23" fillId="4" borderId="28" xfId="0" applyFont="true" applyBorder="true" applyAlignment="true" applyProtection="false">
      <alignment horizontal="general" vertical="top" textRotation="0" wrapText="false" indent="0" shrinkToFit="false"/>
      <protection locked="true" hidden="false"/>
    </xf>
    <xf numFmtId="164" fontId="20" fillId="3" borderId="29" xfId="0" applyFont="true" applyBorder="true" applyAlignment="true" applyProtection="false">
      <alignment horizontal="general" vertical="bottom" textRotation="0" wrapText="false" indent="0" shrinkToFit="false"/>
      <protection locked="true" hidden="false"/>
    </xf>
    <xf numFmtId="164" fontId="22" fillId="3" borderId="17" xfId="0" applyFont="true" applyBorder="true" applyAlignment="true" applyProtection="false">
      <alignment horizontal="left" vertical="bottom" textRotation="0" wrapText="false" indent="0" shrinkToFit="false"/>
      <protection locked="true" hidden="false"/>
    </xf>
    <xf numFmtId="164" fontId="19" fillId="3" borderId="30" xfId="0" applyFont="true" applyBorder="true" applyAlignment="true" applyProtection="false">
      <alignment horizontal="left" vertical="bottom" textRotation="0" wrapText="false" indent="0" shrinkToFit="false"/>
      <protection locked="true" hidden="false"/>
    </xf>
    <xf numFmtId="164" fontId="19" fillId="5" borderId="16" xfId="0" applyFont="true" applyBorder="true" applyAlignment="true" applyProtection="false">
      <alignment horizontal="general" vertical="bottom" textRotation="0" wrapText="false" indent="0" shrinkToFit="false"/>
      <protection locked="true" hidden="false"/>
    </xf>
    <xf numFmtId="164" fontId="19" fillId="4" borderId="31" xfId="0" applyFont="true" applyBorder="true" applyAlignment="true" applyProtection="false">
      <alignment horizontal="general" vertical="top" textRotation="0" wrapText="false" indent="0" shrinkToFit="false"/>
      <protection locked="true" hidden="false"/>
    </xf>
    <xf numFmtId="164" fontId="19" fillId="3" borderId="1" xfId="0" applyFont="true" applyBorder="true" applyAlignment="true" applyProtection="false">
      <alignment horizontal="general" vertical="bottom" textRotation="0" wrapText="false" indent="0" shrinkToFit="false"/>
      <protection locked="true" hidden="false"/>
    </xf>
    <xf numFmtId="164" fontId="22" fillId="3" borderId="19" xfId="0" applyFont="true" applyBorder="true" applyAlignment="true" applyProtection="false">
      <alignment horizontal="left" vertical="bottom" textRotation="0" wrapText="false" indent="0" shrinkToFit="false"/>
      <protection locked="true" hidden="false"/>
    </xf>
    <xf numFmtId="164" fontId="22" fillId="3" borderId="3" xfId="0" applyFont="true" applyBorder="true" applyAlignment="true" applyProtection="false">
      <alignment horizontal="left" vertical="bottom" textRotation="0" wrapText="false" indent="0" shrinkToFit="false"/>
      <protection locked="true" hidden="false"/>
    </xf>
    <xf numFmtId="164" fontId="19" fillId="5" borderId="2" xfId="0" applyFont="true" applyBorder="true" applyAlignment="tru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general" vertical="bottom" textRotation="0" wrapText="false" indent="0" shrinkToFit="false"/>
      <protection locked="true" hidden="false"/>
    </xf>
    <xf numFmtId="164" fontId="19" fillId="3" borderId="3" xfId="0" applyFont="true" applyBorder="true" applyAlignment="true" applyProtection="false">
      <alignment horizontal="general" vertical="bottom" textRotation="0" wrapText="false" indent="0" shrinkToFit="false"/>
      <protection locked="true" hidden="false"/>
    </xf>
    <xf numFmtId="164" fontId="22" fillId="3" borderId="3" xfId="0" applyFont="true" applyBorder="true" applyAlignment="true" applyProtection="false">
      <alignment horizontal="right" vertical="bottom" textRotation="0" wrapText="false" indent="0" shrinkToFit="false"/>
      <protection locked="true" hidden="false"/>
    </xf>
    <xf numFmtId="164" fontId="19" fillId="3" borderId="32" xfId="0" applyFont="true" applyBorder="true" applyAlignment="true" applyProtection="false">
      <alignment horizontal="general" vertical="bottom" textRotation="0" wrapText="false" indent="0" shrinkToFit="false"/>
      <protection locked="true" hidden="false"/>
    </xf>
    <xf numFmtId="164" fontId="19" fillId="3" borderId="33" xfId="0" applyFont="true" applyBorder="true" applyAlignment="true" applyProtection="false">
      <alignment horizontal="general" vertical="bottom" textRotation="0" wrapText="false" indent="0" shrinkToFit="false"/>
      <protection locked="true" hidden="false"/>
    </xf>
    <xf numFmtId="164" fontId="22" fillId="3" borderId="34" xfId="0" applyFont="true" applyBorder="true" applyAlignment="true" applyProtection="false">
      <alignment horizontal="right" vertical="bottom" textRotation="0" wrapText="false" indent="0" shrinkToFit="false"/>
      <protection locked="true" hidden="false"/>
    </xf>
    <xf numFmtId="164" fontId="19" fillId="5" borderId="35" xfId="0" applyFont="true" applyBorder="true" applyAlignment="true" applyProtection="false">
      <alignment horizontal="general" vertical="bottom" textRotation="0" wrapText="false" indent="0" shrinkToFit="false"/>
      <protection locked="true" hidden="false"/>
    </xf>
    <xf numFmtId="164" fontId="9" fillId="0" borderId="35" xfId="0" applyFont="true" applyBorder="true" applyAlignment="true" applyProtection="false">
      <alignment horizontal="general" vertical="bottom" textRotation="0" wrapText="false" indent="0" shrinkToFit="false"/>
      <protection locked="true" hidden="false"/>
    </xf>
    <xf numFmtId="164" fontId="9" fillId="0" borderId="35" xfId="0" applyFont="true" applyBorder="true" applyAlignment="true" applyProtection="false">
      <alignment horizontal="center" vertical="bottom" textRotation="0" wrapText="false" indent="0" shrinkToFit="false"/>
      <protection locked="true" hidden="false"/>
    </xf>
    <xf numFmtId="169" fontId="9" fillId="0" borderId="35" xfId="0" applyFont="true" applyBorder="true" applyAlignment="true" applyProtection="false">
      <alignment horizontal="center" vertical="bottom" textRotation="0" wrapText="false" indent="0" shrinkToFit="false"/>
      <protection locked="true" hidden="false"/>
    </xf>
    <xf numFmtId="169" fontId="9" fillId="0" borderId="35" xfId="0" applyFont="true" applyBorder="true" applyAlignment="true" applyProtection="false">
      <alignment horizontal="general" vertical="bottom" textRotation="0" wrapText="false" indent="0" shrinkToFit="false"/>
      <protection locked="true" hidden="false"/>
    </xf>
    <xf numFmtId="169" fontId="9" fillId="0" borderId="16" xfId="0" applyFont="true" applyBorder="true" applyAlignment="true" applyProtection="false">
      <alignment horizontal="general" vertical="bottom" textRotation="0" wrapText="false" indent="0" shrinkToFit="false"/>
      <protection locked="true" hidden="false"/>
    </xf>
    <xf numFmtId="164" fontId="22" fillId="0" borderId="36" xfId="0" applyFont="true" applyBorder="true" applyAlignment="true" applyProtection="false">
      <alignment horizontal="general" vertical="bottom" textRotation="0" wrapText="false" indent="0" shrinkToFit="false"/>
      <protection locked="true" hidden="false"/>
    </xf>
    <xf numFmtId="164" fontId="19" fillId="0" borderId="36" xfId="0" applyFont="true" applyBorder="true" applyAlignment="true" applyProtection="false">
      <alignment horizontal="general" vertical="bottom" textRotation="0" wrapText="false" indent="0" shrinkToFit="false"/>
      <protection locked="true" hidden="false"/>
    </xf>
    <xf numFmtId="164" fontId="22" fillId="0" borderId="36"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general" vertical="top" textRotation="0" wrapText="false" indent="0" shrinkToFit="false"/>
      <protection locked="true" hidden="false"/>
    </xf>
    <xf numFmtId="169" fontId="22" fillId="0" borderId="2" xfId="0" applyFont="true" applyBorder="true" applyAlignment="true" applyProtection="false">
      <alignment horizontal="center" vertical="top" textRotation="255" wrapText="false" indent="0" shrinkToFit="false"/>
      <protection locked="true" hidden="false"/>
    </xf>
    <xf numFmtId="164" fontId="19" fillId="4" borderId="37" xfId="0" applyFont="true" applyBorder="true" applyAlignment="true" applyProtection="false">
      <alignment horizontal="general" vertical="top" textRotation="0" wrapText="false" indent="0" shrinkToFit="false"/>
      <protection locked="true" hidden="false"/>
    </xf>
    <xf numFmtId="164" fontId="22" fillId="0" borderId="38" xfId="0" applyFont="true" applyBorder="true" applyAlignment="true" applyProtection="false">
      <alignment horizontal="general" vertical="top" textRotation="0" wrapText="false" indent="0" shrinkToFit="false"/>
      <protection locked="true" hidden="false"/>
    </xf>
    <xf numFmtId="164" fontId="19" fillId="0" borderId="38" xfId="0" applyFont="true" applyBorder="true" applyAlignment="true" applyProtection="false">
      <alignment horizontal="general" vertical="bottom" textRotation="0" wrapText="false" indent="0" shrinkToFit="false"/>
      <protection locked="true" hidden="false"/>
    </xf>
    <xf numFmtId="164" fontId="22" fillId="0" borderId="38" xfId="0" applyFont="true" applyBorder="true" applyAlignment="true" applyProtection="false">
      <alignment horizontal="center" vertical="bottom" textRotation="255"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0" fillId="3" borderId="39" xfId="0" applyFont="true" applyBorder="true" applyAlignment="true" applyProtection="false">
      <alignment horizontal="left" vertical="bottom" textRotation="0" wrapText="true" indent="0" shrinkToFit="false"/>
      <protection locked="true" hidden="false"/>
    </xf>
    <xf numFmtId="167" fontId="21" fillId="3" borderId="12" xfId="0" applyFont="true" applyBorder="true" applyAlignment="true" applyProtection="false">
      <alignment horizontal="left" vertical="bottom" textRotation="0" wrapText="true" indent="0" shrinkToFit="false"/>
      <protection locked="true" hidden="false"/>
    </xf>
    <xf numFmtId="164" fontId="22" fillId="0" borderId="12" xfId="0" applyFont="true" applyBorder="true" applyAlignment="true" applyProtection="false">
      <alignment horizontal="general" vertical="bottom" textRotation="0" wrapText="false" indent="0" shrinkToFit="false"/>
      <protection locked="true" hidden="false"/>
    </xf>
    <xf numFmtId="164" fontId="20" fillId="3" borderId="12" xfId="0" applyFont="true" applyBorder="true" applyAlignment="true" applyProtection="false">
      <alignment horizontal="left" vertical="bottom" textRotation="0" wrapText="true" indent="0" shrinkToFit="false"/>
      <protection locked="true" hidden="false"/>
    </xf>
    <xf numFmtId="167" fontId="21" fillId="3" borderId="14" xfId="0" applyFont="true" applyBorder="true" applyAlignment="true" applyProtection="false">
      <alignment horizontal="left" vertical="bottom" textRotation="0" wrapText="true" indent="0" shrinkToFit="false"/>
      <protection locked="true" hidden="false"/>
    </xf>
    <xf numFmtId="164" fontId="20" fillId="3" borderId="40" xfId="0" applyFont="true" applyBorder="true" applyAlignment="true" applyProtection="false">
      <alignment horizontal="left" vertical="bottom" textRotation="0" wrapText="true" indent="0" shrinkToFit="false"/>
      <protection locked="true" hidden="false"/>
    </xf>
    <xf numFmtId="164" fontId="21" fillId="3" borderId="16" xfId="0" applyFont="true" applyBorder="true" applyAlignment="true" applyProtection="false">
      <alignment horizontal="left" vertical="bottom" textRotation="0" wrapText="true" indent="0" shrinkToFit="false"/>
      <protection locked="true" hidden="false"/>
    </xf>
    <xf numFmtId="164" fontId="20" fillId="3" borderId="16" xfId="0" applyFont="true" applyBorder="true" applyAlignment="true" applyProtection="false">
      <alignment horizontal="left" vertical="bottom" textRotation="0" wrapText="true" indent="0" shrinkToFit="false"/>
      <protection locked="true" hidden="false"/>
    </xf>
    <xf numFmtId="164" fontId="21" fillId="3" borderId="29" xfId="0" applyFont="true" applyBorder="true" applyAlignment="true" applyProtection="false">
      <alignment horizontal="left" vertical="bottom" textRotation="0" wrapText="true" indent="0" shrinkToFit="false"/>
      <protection locked="true" hidden="false"/>
    </xf>
    <xf numFmtId="164" fontId="21" fillId="3" borderId="18" xfId="0" applyFont="true" applyBorder="true" applyAlignment="true" applyProtection="false">
      <alignment horizontal="general" vertical="bottom" textRotation="0" wrapText="true" indent="0" shrinkToFit="false"/>
      <protection locked="true" hidden="false"/>
    </xf>
    <xf numFmtId="164" fontId="20" fillId="3" borderId="15" xfId="0" applyFont="true" applyBorder="true" applyAlignment="true" applyProtection="false">
      <alignment horizontal="left" vertical="bottom" textRotation="0" wrapText="true" indent="0" shrinkToFit="false"/>
      <protection locked="true" hidden="false"/>
    </xf>
    <xf numFmtId="164" fontId="21" fillId="3" borderId="19" xfId="0" applyFont="true" applyBorder="true" applyAlignment="true" applyProtection="false">
      <alignment horizontal="left" vertical="bottom" textRotation="0" wrapText="true" indent="0" shrinkToFit="false"/>
      <protection locked="true" hidden="false"/>
    </xf>
    <xf numFmtId="164" fontId="20" fillId="3" borderId="2" xfId="0" applyFont="true" applyBorder="true" applyAlignment="true" applyProtection="false">
      <alignment horizontal="left" vertical="bottom" textRotation="0" wrapText="tru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1" fillId="3" borderId="20" xfId="0" applyFont="true" applyBorder="true" applyAlignment="true" applyProtection="false">
      <alignment horizontal="left" vertical="bottom" textRotation="0" wrapText="true" indent="0" shrinkToFit="false"/>
      <protection locked="true" hidden="false"/>
    </xf>
    <xf numFmtId="164" fontId="22" fillId="0" borderId="25"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right" vertical="bottom" textRotation="0" wrapText="false" indent="0" shrinkToFit="false"/>
      <protection locked="true" hidden="false"/>
    </xf>
    <xf numFmtId="164" fontId="24" fillId="4" borderId="41" xfId="0" applyFont="true" applyBorder="true" applyAlignment="true" applyProtection="false">
      <alignment horizontal="general" vertical="bottom" textRotation="0" wrapText="false" indent="0" shrinkToFit="false"/>
      <protection locked="true" hidden="false"/>
    </xf>
    <xf numFmtId="164" fontId="23" fillId="4" borderId="42" xfId="0" applyFont="true" applyBorder="true" applyAlignment="true" applyProtection="false">
      <alignment horizontal="left" vertical="bottom" textRotation="0" wrapText="false" indent="0" shrinkToFit="false"/>
      <protection locked="true" hidden="false"/>
    </xf>
    <xf numFmtId="164" fontId="24" fillId="4" borderId="42" xfId="0" applyFont="true" applyBorder="true" applyAlignment="true" applyProtection="false">
      <alignment horizontal="general" vertical="bottom" textRotation="0" wrapText="false" indent="0" shrinkToFit="false"/>
      <protection locked="true" hidden="false"/>
    </xf>
    <xf numFmtId="164" fontId="24" fillId="4" borderId="42" xfId="0" applyFont="true" applyBorder="true" applyAlignment="true" applyProtection="false">
      <alignment horizontal="right" vertical="bottom" textRotation="0" wrapText="false" indent="0" shrinkToFit="false"/>
      <protection locked="true" hidden="false"/>
    </xf>
    <xf numFmtId="164" fontId="23" fillId="4" borderId="42" xfId="0" applyFont="true" applyBorder="true" applyAlignment="true" applyProtection="false">
      <alignment horizontal="left" vertical="top" textRotation="18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22" fillId="3" borderId="19" xfId="0" applyFont="true" applyBorder="true" applyAlignment="true" applyProtection="false">
      <alignment horizontal="center" vertical="top" textRotation="0" wrapText="false" indent="0" shrinkToFit="false"/>
      <protection locked="true" hidden="false"/>
    </xf>
    <xf numFmtId="164" fontId="21" fillId="5" borderId="33" xfId="0" applyFont="true" applyBorder="true" applyAlignment="true" applyProtection="false">
      <alignment horizontal="right" vertical="bottom" textRotation="0" wrapText="false" indent="0" shrinkToFit="false"/>
      <protection locked="true" hidden="false"/>
    </xf>
    <xf numFmtId="164" fontId="25" fillId="0" borderId="2" xfId="0" applyFont="true" applyBorder="true" applyAlignment="true" applyProtection="false">
      <alignment horizontal="center" vertical="bottom" textRotation="0" wrapText="false" indent="0" shrinkToFit="false"/>
      <protection locked="true" hidden="false"/>
    </xf>
    <xf numFmtId="164" fontId="23" fillId="4" borderId="31" xfId="0" applyFont="true" applyBorder="true" applyAlignment="true" applyProtection="false">
      <alignment horizontal="general" vertical="center" textRotation="0" wrapText="false" indent="0" shrinkToFit="false"/>
      <protection locked="true" hidden="false"/>
    </xf>
    <xf numFmtId="164" fontId="21" fillId="5"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22" fillId="5" borderId="0" xfId="0" applyFont="true" applyBorder="false" applyAlignment="true" applyProtection="false">
      <alignment horizontal="right" vertical="bottom" textRotation="0" wrapText="false" indent="0" shrinkToFit="false"/>
      <protection locked="true" hidden="false"/>
    </xf>
    <xf numFmtId="164" fontId="20" fillId="3" borderId="29" xfId="0" applyFont="true" applyBorder="true" applyAlignment="true" applyProtection="false">
      <alignment horizontal="left" vertical="top" textRotation="0" wrapText="false" indent="0" shrinkToFit="false"/>
      <protection locked="true" hidden="false"/>
    </xf>
    <xf numFmtId="164" fontId="22" fillId="3" borderId="17" xfId="0" applyFont="true" applyBorder="true" applyAlignment="true" applyProtection="false">
      <alignment horizontal="center" vertical="top" textRotation="0" wrapText="false" indent="0" shrinkToFit="false"/>
      <protection locked="true" hidden="false"/>
    </xf>
    <xf numFmtId="164" fontId="25" fillId="0" borderId="16" xfId="0" applyFont="true" applyBorder="true" applyAlignment="true" applyProtection="false">
      <alignment horizontal="center" vertical="bottom" textRotation="0" wrapText="false" indent="0" shrinkToFit="false"/>
      <protection locked="true" hidden="false"/>
    </xf>
    <xf numFmtId="164" fontId="20" fillId="3" borderId="17" xfId="0" applyFont="true" applyBorder="true" applyAlignment="true" applyProtection="false">
      <alignment horizontal="general" vertical="bottom" textRotation="0" wrapText="false" indent="0" shrinkToFit="false"/>
      <protection locked="true" hidden="false"/>
    </xf>
    <xf numFmtId="164" fontId="22" fillId="3" borderId="30" xfId="0" applyFont="true" applyBorder="true" applyAlignment="true" applyProtection="false">
      <alignment horizontal="right" vertical="bottom" textRotation="0" wrapText="false" indent="0" shrinkToFit="false"/>
      <protection locked="true" hidden="false"/>
    </xf>
    <xf numFmtId="164" fontId="22" fillId="5" borderId="16" xfId="0" applyFont="true" applyBorder="true" applyAlignment="true" applyProtection="false">
      <alignment horizontal="left" vertical="bottom" textRotation="0" wrapText="false" indent="0" shrinkToFit="false"/>
      <protection locked="true" hidden="false"/>
    </xf>
    <xf numFmtId="164" fontId="23" fillId="4" borderId="31" xfId="0" applyFont="true" applyBorder="true" applyAlignment="true" applyProtection="false">
      <alignment horizontal="general" vertical="top" textRotation="0" wrapText="false" indent="0" shrinkToFit="false"/>
      <protection locked="true" hidden="false"/>
    </xf>
    <xf numFmtId="164" fontId="22" fillId="3" borderId="19" xfId="0" applyFont="true" applyBorder="true" applyAlignment="true" applyProtection="false">
      <alignment horizontal="general" vertical="bottom" textRotation="0" wrapText="false" indent="0" shrinkToFit="false"/>
      <protection locked="true" hidden="false"/>
    </xf>
    <xf numFmtId="164" fontId="22" fillId="5" borderId="2" xfId="0" applyFont="true" applyBorder="true" applyAlignment="true" applyProtection="false">
      <alignment horizontal="left" vertical="bottom" textRotation="0" wrapText="false" indent="0" shrinkToFit="false"/>
      <protection locked="true" hidden="false"/>
    </xf>
    <xf numFmtId="164" fontId="22" fillId="5" borderId="2" xfId="0" applyFont="true" applyBorder="true" applyAlignment="true" applyProtection="false">
      <alignment horizontal="general" vertical="bottom" textRotation="0" wrapText="false" indent="0" shrinkToFit="false"/>
      <protection locked="true" hidden="false"/>
    </xf>
    <xf numFmtId="164" fontId="20" fillId="3" borderId="32" xfId="0" applyFont="true" applyBorder="true" applyAlignment="true" applyProtection="false">
      <alignment horizontal="general" vertical="bottom" textRotation="0" wrapText="false" indent="0" shrinkToFit="false"/>
      <protection locked="true" hidden="false"/>
    </xf>
    <xf numFmtId="164" fontId="26" fillId="3" borderId="43" xfId="0" applyFont="true" applyBorder="true" applyAlignment="true" applyProtection="false">
      <alignment horizontal="right" vertical="bottom" textRotation="0" wrapText="false" indent="0" shrinkToFit="false"/>
      <protection locked="true" hidden="false"/>
    </xf>
    <xf numFmtId="164" fontId="22" fillId="5" borderId="35" xfId="0" applyFont="true" applyBorder="true" applyAlignment="true" applyProtection="false">
      <alignment horizontal="general" vertical="bottom" textRotation="0" wrapText="false" indent="0" shrinkToFit="false"/>
      <protection locked="true" hidden="false"/>
    </xf>
    <xf numFmtId="164" fontId="25" fillId="0" borderId="35" xfId="0" applyFont="true" applyBorder="true" applyAlignment="true" applyProtection="false">
      <alignment horizontal="center" vertical="bottom" textRotation="0" wrapText="false" indent="0" shrinkToFit="false"/>
      <protection locked="true" hidden="false"/>
    </xf>
    <xf numFmtId="164" fontId="20" fillId="3" borderId="44" xfId="0" applyFont="true" applyBorder="true" applyAlignment="true" applyProtection="false">
      <alignment horizontal="general" vertical="bottom" textRotation="0" wrapText="false" indent="0" shrinkToFit="false"/>
      <protection locked="true" hidden="false"/>
    </xf>
    <xf numFmtId="164" fontId="22" fillId="3" borderId="0" xfId="0" applyFont="true" applyBorder="false" applyAlignment="true" applyProtection="false">
      <alignment horizontal="general" vertical="bottom" textRotation="0" wrapText="false" indent="0" shrinkToFit="false"/>
      <protection locked="true" hidden="false"/>
    </xf>
    <xf numFmtId="164" fontId="22" fillId="5" borderId="45" xfId="0" applyFont="true" applyBorder="true" applyAlignment="true" applyProtection="false">
      <alignment horizontal="left" vertical="bottom" textRotation="0" wrapText="false" indent="0" shrinkToFit="false"/>
      <protection locked="true" hidden="false"/>
    </xf>
    <xf numFmtId="164" fontId="25" fillId="0" borderId="45" xfId="0" applyFont="true" applyBorder="true" applyAlignment="true" applyProtection="false">
      <alignment horizontal="center" vertical="bottom" textRotation="0" wrapText="false" indent="0" shrinkToFit="false"/>
      <protection locked="true" hidden="false"/>
    </xf>
    <xf numFmtId="164" fontId="22" fillId="0" borderId="36" xfId="0" applyFont="true" applyBorder="true" applyAlignment="true" applyProtection="false">
      <alignment horizontal="left" vertical="bottom" textRotation="0" wrapText="false" indent="0" shrinkToFit="false"/>
      <protection locked="true" hidden="false"/>
    </xf>
    <xf numFmtId="164" fontId="27" fillId="0" borderId="36"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left" vertical="bottom" textRotation="0" wrapText="false" indent="0" shrinkToFit="false"/>
      <protection locked="true" hidden="false"/>
    </xf>
    <xf numFmtId="164" fontId="28" fillId="0" borderId="2" xfId="0" applyFont="true" applyBorder="true" applyAlignment="true" applyProtection="false">
      <alignment horizontal="left" vertical="bottom" textRotation="0" wrapText="false" indent="0" shrinkToFit="false"/>
      <protection locked="true" hidden="false"/>
    </xf>
    <xf numFmtId="164" fontId="27" fillId="0" borderId="2"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left" vertical="top" textRotation="0" wrapText="false" indent="0" shrinkToFit="false"/>
      <protection locked="true" hidden="false"/>
    </xf>
    <xf numFmtId="169" fontId="22" fillId="0" borderId="2" xfId="0" applyFont="true" applyBorder="true" applyAlignment="true" applyProtection="false">
      <alignment horizontal="right" vertical="top" textRotation="255" wrapText="false" indent="0" shrinkToFit="false"/>
      <protection locked="true" hidden="false"/>
    </xf>
    <xf numFmtId="164" fontId="23" fillId="4" borderId="37" xfId="0" applyFont="true" applyBorder="true" applyAlignment="true" applyProtection="false">
      <alignment horizontal="general" vertical="top" textRotation="0" wrapText="false" indent="0" shrinkToFit="false"/>
      <protection locked="true" hidden="false"/>
    </xf>
    <xf numFmtId="164" fontId="22" fillId="0" borderId="38" xfId="0" applyFont="true" applyBorder="true" applyAlignment="true" applyProtection="false">
      <alignment horizontal="left" vertical="top" textRotation="0" wrapText="false" indent="0" shrinkToFit="false"/>
      <protection locked="true" hidden="false"/>
    </xf>
    <xf numFmtId="164" fontId="22" fillId="0" borderId="38" xfId="0" applyFont="true" applyBorder="true" applyAlignment="true" applyProtection="false">
      <alignment horizontal="general" vertical="bottom" textRotation="0" wrapText="false" indent="0" shrinkToFit="false"/>
      <protection locked="true" hidden="false"/>
    </xf>
    <xf numFmtId="164" fontId="22" fillId="0" borderId="38" xfId="0" applyFont="true" applyBorder="true" applyAlignment="true" applyProtection="false">
      <alignment horizontal="right" vertical="bottom" textRotation="255" wrapText="false" indent="0" shrinkToFit="false"/>
      <protection locked="true" hidden="false"/>
    </xf>
    <xf numFmtId="164" fontId="21" fillId="3" borderId="17" xfId="0" applyFont="true" applyBorder="true" applyAlignment="true" applyProtection="false">
      <alignment horizontal="left" vertical="bottom" textRotation="0" wrapText="true" indent="0" shrinkToFit="false"/>
      <protection locked="true" hidden="false"/>
    </xf>
    <xf numFmtId="164" fontId="22" fillId="5" borderId="0" xfId="0" applyFont="true" applyBorder="false" applyAlignment="true" applyProtection="false">
      <alignment horizontal="left" vertical="bottom" textRotation="0" wrapText="false" indent="0" shrinkToFit="false"/>
      <protection locked="true" hidden="false"/>
    </xf>
    <xf numFmtId="164" fontId="19" fillId="0" borderId="17" xfId="0" applyFont="true" applyBorder="true" applyAlignment="true" applyProtection="false">
      <alignment horizontal="general" vertical="center" textRotation="0" wrapText="false" indent="0" shrinkToFit="false"/>
      <protection locked="true" hidden="false"/>
    </xf>
    <xf numFmtId="170" fontId="22" fillId="0" borderId="2" xfId="0" applyFont="true" applyBorder="true" applyAlignment="true" applyProtection="false">
      <alignment horizontal="right" vertical="top" textRotation="255"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2142360</xdr:colOff>
      <xdr:row>1</xdr:row>
      <xdr:rowOff>780480</xdr:rowOff>
    </xdr:to>
    <xdr:pic>
      <xdr:nvPicPr>
        <xdr:cNvPr id="0" name="image1.png" descr=""/>
        <xdr:cNvPicPr/>
      </xdr:nvPicPr>
      <xdr:blipFill>
        <a:blip r:embed="rId1"/>
        <a:stretch/>
      </xdr:blipFill>
      <xdr:spPr>
        <a:xfrm>
          <a:off x="0" y="162000"/>
          <a:ext cx="2142360" cy="7804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pitchFamily="0" charset="1"/>
        <a:ea typeface="MS PGothic" pitchFamily="0" charset="1"/>
        <a:cs typeface="MS PGothic" pitchFamily="0" charset="1"/>
      </a:majorFont>
      <a:minorFont>
        <a:latin typeface="MS PGothic" pitchFamily="0" charset="1"/>
        <a:ea typeface="MS PGothic" pitchFamily="0" charset="1"/>
        <a:cs typeface="MS PGothic"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119.38"/>
    <col collapsed="false" customWidth="true" hidden="false" outlineLevel="0" max="6" min="2" style="1" width="9"/>
    <col collapsed="false" customWidth="true" hidden="false" outlineLevel="0" max="26" min="7" style="1" width="10"/>
  </cols>
  <sheetData>
    <row r="1" customFormat="false" ht="22.5" hidden="false" customHeight="tru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22.5" hidden="false" customHeight="true" outlineLevel="0" collapsed="false">
      <c r="A2" s="2"/>
      <c r="B2" s="3"/>
      <c r="C2" s="3"/>
      <c r="D2" s="3"/>
      <c r="E2" s="3"/>
      <c r="F2" s="3"/>
      <c r="G2" s="3"/>
      <c r="H2" s="3"/>
      <c r="I2" s="3"/>
      <c r="J2" s="3"/>
      <c r="K2" s="3"/>
      <c r="L2" s="3"/>
      <c r="M2" s="3"/>
      <c r="N2" s="3"/>
      <c r="O2" s="3"/>
      <c r="P2" s="3"/>
      <c r="Q2" s="3"/>
      <c r="R2" s="3"/>
      <c r="S2" s="3"/>
      <c r="T2" s="3"/>
      <c r="U2" s="3"/>
      <c r="V2" s="3"/>
      <c r="W2" s="3"/>
      <c r="X2" s="3"/>
      <c r="Y2" s="3"/>
      <c r="Z2" s="3"/>
    </row>
    <row r="3" customFormat="false" ht="18" hidden="false" customHeight="true" outlineLevel="0" collapsed="false">
      <c r="A3" s="4" t="s">
        <v>1</v>
      </c>
      <c r="B3" s="5"/>
      <c r="C3" s="5"/>
      <c r="D3" s="5"/>
      <c r="E3" s="5"/>
      <c r="F3" s="5"/>
      <c r="G3" s="5"/>
      <c r="H3" s="5"/>
      <c r="I3" s="5"/>
      <c r="J3" s="5"/>
      <c r="K3" s="5"/>
      <c r="L3" s="5"/>
      <c r="M3" s="5"/>
      <c r="N3" s="5"/>
      <c r="O3" s="5"/>
      <c r="P3" s="5"/>
      <c r="Q3" s="5"/>
      <c r="R3" s="5"/>
      <c r="S3" s="5"/>
      <c r="T3" s="5"/>
      <c r="U3" s="5"/>
      <c r="V3" s="5"/>
      <c r="W3" s="5"/>
      <c r="X3" s="5"/>
      <c r="Y3" s="5"/>
      <c r="Z3" s="5"/>
    </row>
    <row r="4" customFormat="false" ht="15" hidden="false" customHeight="true" outlineLevel="0" collapsed="false">
      <c r="A4" s="6" t="s">
        <v>2</v>
      </c>
      <c r="B4" s="7"/>
      <c r="C4" s="7"/>
      <c r="D4" s="7"/>
      <c r="E4" s="7"/>
      <c r="F4" s="7"/>
      <c r="G4" s="7"/>
      <c r="H4" s="7"/>
      <c r="I4" s="7"/>
      <c r="J4" s="7"/>
      <c r="K4" s="7"/>
      <c r="L4" s="7"/>
      <c r="M4" s="7"/>
      <c r="N4" s="7"/>
      <c r="O4" s="7"/>
      <c r="P4" s="7"/>
      <c r="Q4" s="7"/>
      <c r="R4" s="7"/>
      <c r="S4" s="7"/>
      <c r="T4" s="7"/>
      <c r="U4" s="7"/>
      <c r="V4" s="7"/>
      <c r="W4" s="7"/>
      <c r="X4" s="7"/>
      <c r="Y4" s="7"/>
      <c r="Z4" s="7"/>
    </row>
    <row r="5" customFormat="false" ht="15" hidden="false" customHeight="true" outlineLevel="0" collapsed="false">
      <c r="A5" s="6" t="s">
        <v>3</v>
      </c>
      <c r="B5" s="7"/>
      <c r="C5" s="7"/>
      <c r="D5" s="7"/>
      <c r="E5" s="7"/>
      <c r="F5" s="7"/>
      <c r="G5" s="7"/>
      <c r="H5" s="7"/>
      <c r="I5" s="7"/>
      <c r="J5" s="7"/>
      <c r="K5" s="7"/>
      <c r="L5" s="7"/>
      <c r="M5" s="7"/>
      <c r="N5" s="7"/>
      <c r="O5" s="7"/>
      <c r="P5" s="7"/>
      <c r="Q5" s="7"/>
      <c r="R5" s="7"/>
      <c r="S5" s="7"/>
      <c r="T5" s="7"/>
      <c r="U5" s="7"/>
      <c r="V5" s="7"/>
      <c r="W5" s="7"/>
      <c r="X5" s="7"/>
      <c r="Y5" s="7"/>
      <c r="Z5" s="7"/>
    </row>
    <row r="6" customFormat="false" ht="42" hidden="false" customHeight="true" outlineLevel="0" collapsed="false">
      <c r="A6" s="8" t="s">
        <v>4</v>
      </c>
      <c r="B6" s="7"/>
      <c r="C6" s="7"/>
      <c r="D6" s="7"/>
      <c r="E6" s="7"/>
      <c r="F6" s="7"/>
      <c r="G6" s="7"/>
      <c r="H6" s="7"/>
      <c r="I6" s="7"/>
      <c r="J6" s="7"/>
      <c r="K6" s="7"/>
      <c r="L6" s="7"/>
      <c r="M6" s="7"/>
      <c r="N6" s="7"/>
      <c r="O6" s="7"/>
      <c r="P6" s="7"/>
      <c r="Q6" s="7"/>
      <c r="R6" s="7"/>
      <c r="S6" s="7"/>
      <c r="T6" s="7"/>
      <c r="U6" s="7"/>
      <c r="V6" s="7"/>
      <c r="W6" s="7"/>
      <c r="X6" s="7"/>
      <c r="Y6" s="7"/>
      <c r="Z6" s="7"/>
    </row>
    <row r="7" customFormat="false" ht="29.25" hidden="false" customHeight="true" outlineLevel="0" collapsed="false">
      <c r="A7" s="8" t="s">
        <v>5</v>
      </c>
      <c r="B7" s="7"/>
      <c r="C7" s="7"/>
      <c r="D7" s="7"/>
      <c r="E7" s="7"/>
      <c r="F7" s="7"/>
      <c r="G7" s="7"/>
      <c r="H7" s="7"/>
      <c r="I7" s="7"/>
      <c r="J7" s="7"/>
      <c r="K7" s="7"/>
      <c r="L7" s="7"/>
      <c r="M7" s="7"/>
      <c r="N7" s="7"/>
      <c r="O7" s="7"/>
      <c r="P7" s="7"/>
      <c r="Q7" s="7"/>
      <c r="R7" s="7"/>
      <c r="S7" s="7"/>
      <c r="T7" s="7"/>
      <c r="U7" s="7"/>
      <c r="V7" s="7"/>
      <c r="W7" s="7"/>
      <c r="X7" s="7"/>
      <c r="Y7" s="7"/>
      <c r="Z7" s="7"/>
    </row>
    <row r="8" customFormat="false" ht="30" hidden="false" customHeight="true" outlineLevel="0" collapsed="false">
      <c r="A8" s="8" t="s">
        <v>6</v>
      </c>
      <c r="B8" s="7"/>
      <c r="C8" s="7"/>
      <c r="D8" s="7"/>
      <c r="E8" s="7"/>
      <c r="F8" s="7"/>
      <c r="G8" s="7"/>
      <c r="H8" s="7"/>
      <c r="I8" s="7"/>
      <c r="J8" s="7"/>
      <c r="K8" s="7"/>
      <c r="L8" s="7"/>
      <c r="M8" s="7"/>
      <c r="N8" s="7"/>
      <c r="O8" s="7"/>
      <c r="P8" s="7"/>
      <c r="Q8" s="7"/>
      <c r="R8" s="7"/>
      <c r="S8" s="7"/>
      <c r="T8" s="7"/>
      <c r="U8" s="7"/>
      <c r="V8" s="7"/>
      <c r="W8" s="7"/>
      <c r="X8" s="7"/>
      <c r="Y8" s="7"/>
      <c r="Z8" s="7"/>
    </row>
    <row r="9" customFormat="false" ht="16.5" hidden="false" customHeight="true" outlineLevel="0" collapsed="false">
      <c r="A9" s="9" t="s">
        <v>7</v>
      </c>
      <c r="B9" s="10"/>
      <c r="C9" s="10"/>
      <c r="D9" s="10"/>
      <c r="E9" s="10"/>
      <c r="F9" s="10"/>
      <c r="G9" s="10"/>
      <c r="H9" s="10"/>
      <c r="I9" s="10"/>
      <c r="J9" s="10"/>
      <c r="K9" s="10"/>
      <c r="L9" s="10"/>
      <c r="M9" s="10"/>
      <c r="N9" s="10"/>
      <c r="O9" s="10"/>
      <c r="P9" s="10"/>
      <c r="Q9" s="10"/>
      <c r="R9" s="10"/>
      <c r="S9" s="10"/>
      <c r="T9" s="10"/>
      <c r="U9" s="10"/>
      <c r="V9" s="10"/>
      <c r="W9" s="10"/>
      <c r="X9" s="10"/>
      <c r="Y9" s="10"/>
      <c r="Z9" s="10"/>
    </row>
    <row r="10" customFormat="false" ht="16.5" hidden="false" customHeight="true" outlineLevel="0" collapsed="false">
      <c r="A10" s="6"/>
      <c r="B10" s="7"/>
      <c r="C10" s="7"/>
      <c r="D10" s="7"/>
      <c r="E10" s="7"/>
      <c r="F10" s="7"/>
      <c r="G10" s="7"/>
      <c r="H10" s="7"/>
      <c r="I10" s="7"/>
      <c r="J10" s="7"/>
      <c r="K10" s="7"/>
      <c r="L10" s="7"/>
      <c r="M10" s="7"/>
      <c r="N10" s="7"/>
      <c r="O10" s="7"/>
      <c r="P10" s="7"/>
      <c r="Q10" s="7"/>
      <c r="R10" s="7"/>
      <c r="S10" s="7"/>
      <c r="T10" s="7"/>
      <c r="U10" s="7"/>
      <c r="V10" s="7"/>
      <c r="W10" s="7"/>
      <c r="X10" s="7"/>
      <c r="Y10" s="7"/>
      <c r="Z10" s="7"/>
    </row>
    <row r="11" customFormat="false" ht="18" hidden="false" customHeight="true" outlineLevel="0" collapsed="false">
      <c r="A11" s="4" t="s">
        <v>8</v>
      </c>
      <c r="B11" s="5"/>
      <c r="C11" s="5"/>
      <c r="D11" s="5"/>
      <c r="E11" s="5"/>
      <c r="F11" s="5"/>
      <c r="G11" s="5"/>
      <c r="H11" s="5"/>
      <c r="I11" s="5"/>
      <c r="J11" s="5"/>
      <c r="K11" s="5"/>
      <c r="L11" s="5"/>
      <c r="M11" s="5"/>
      <c r="N11" s="5"/>
      <c r="O11" s="5"/>
      <c r="P11" s="5"/>
      <c r="Q11" s="5"/>
      <c r="R11" s="5"/>
      <c r="S11" s="5"/>
      <c r="T11" s="5"/>
      <c r="U11" s="5"/>
      <c r="V11" s="5"/>
      <c r="W11" s="5"/>
      <c r="X11" s="5"/>
      <c r="Y11" s="5"/>
      <c r="Z11" s="5"/>
    </row>
    <row r="12" customFormat="false" ht="15" hidden="false" customHeight="true" outlineLevel="0" collapsed="false">
      <c r="A12" s="11" t="s">
        <v>9</v>
      </c>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ustomFormat="false" ht="27.75" hidden="false" customHeight="true" outlineLevel="0" collapsed="false">
      <c r="A13" s="6" t="s">
        <v>10</v>
      </c>
      <c r="B13" s="7"/>
      <c r="C13" s="7"/>
      <c r="D13" s="7"/>
      <c r="E13" s="7"/>
      <c r="F13" s="7"/>
      <c r="G13" s="7"/>
      <c r="H13" s="7"/>
      <c r="I13" s="7"/>
      <c r="J13" s="7"/>
      <c r="K13" s="7"/>
      <c r="L13" s="7"/>
      <c r="M13" s="7"/>
      <c r="N13" s="7"/>
      <c r="O13" s="7"/>
      <c r="P13" s="7"/>
      <c r="Q13" s="7"/>
      <c r="R13" s="7"/>
      <c r="S13" s="7"/>
      <c r="T13" s="7"/>
      <c r="U13" s="7"/>
      <c r="V13" s="7"/>
      <c r="W13" s="7"/>
      <c r="X13" s="7"/>
      <c r="Y13" s="7"/>
      <c r="Z13" s="7"/>
    </row>
    <row r="14" customFormat="false" ht="13.5" hidden="false" customHeight="true" outlineLevel="0" collapsed="false">
      <c r="A14" s="6" t="s">
        <v>11</v>
      </c>
      <c r="B14" s="7"/>
      <c r="C14" s="7"/>
      <c r="D14" s="7"/>
      <c r="E14" s="7"/>
      <c r="F14" s="7"/>
      <c r="G14" s="7"/>
      <c r="H14" s="7"/>
      <c r="I14" s="7"/>
      <c r="J14" s="7"/>
      <c r="K14" s="7"/>
      <c r="L14" s="7"/>
      <c r="M14" s="7"/>
      <c r="N14" s="7"/>
      <c r="O14" s="7"/>
      <c r="P14" s="7"/>
      <c r="Q14" s="7"/>
      <c r="R14" s="7"/>
      <c r="S14" s="7"/>
      <c r="T14" s="7"/>
      <c r="U14" s="7"/>
      <c r="V14" s="7"/>
      <c r="W14" s="7"/>
      <c r="X14" s="7"/>
      <c r="Y14" s="7"/>
      <c r="Z14" s="7"/>
    </row>
    <row r="15" customFormat="false" ht="13.5" hidden="false" customHeight="true" outlineLevel="0" collapsed="false">
      <c r="A15" s="8" t="s">
        <v>12</v>
      </c>
      <c r="B15" s="7"/>
      <c r="C15" s="7"/>
      <c r="D15" s="7"/>
      <c r="E15" s="7"/>
      <c r="F15" s="7"/>
      <c r="G15" s="7"/>
      <c r="H15" s="7"/>
      <c r="I15" s="7"/>
      <c r="J15" s="7"/>
      <c r="K15" s="7"/>
      <c r="L15" s="7"/>
      <c r="M15" s="7"/>
      <c r="N15" s="7"/>
      <c r="O15" s="7"/>
      <c r="P15" s="7"/>
      <c r="Q15" s="7"/>
      <c r="R15" s="7"/>
      <c r="S15" s="7"/>
      <c r="T15" s="7"/>
      <c r="U15" s="7"/>
      <c r="V15" s="7"/>
      <c r="W15" s="7"/>
      <c r="X15" s="7"/>
      <c r="Y15" s="7"/>
      <c r="Z15" s="7"/>
    </row>
    <row r="16" customFormat="false" ht="13.5" hidden="false" customHeight="true" outlineLevel="0" collapsed="false">
      <c r="A16" s="6"/>
      <c r="B16" s="7"/>
      <c r="C16" s="7"/>
      <c r="D16" s="7"/>
      <c r="E16" s="7"/>
      <c r="F16" s="7"/>
      <c r="G16" s="7"/>
      <c r="H16" s="7"/>
      <c r="I16" s="7"/>
      <c r="J16" s="7"/>
      <c r="K16" s="7"/>
      <c r="L16" s="7"/>
      <c r="M16" s="7"/>
      <c r="N16" s="7"/>
      <c r="O16" s="7"/>
      <c r="P16" s="7"/>
      <c r="Q16" s="7"/>
      <c r="R16" s="7"/>
      <c r="S16" s="7"/>
      <c r="T16" s="7"/>
      <c r="U16" s="7"/>
      <c r="V16" s="7"/>
      <c r="W16" s="7"/>
      <c r="X16" s="7"/>
      <c r="Y16" s="7"/>
      <c r="Z16" s="7"/>
    </row>
    <row r="17" customFormat="false" ht="15" hidden="false" customHeight="true" outlineLevel="0" collapsed="false">
      <c r="A17" s="11" t="s">
        <v>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3.5" hidden="false" customHeight="true" outlineLevel="0" collapsed="false">
      <c r="A18" s="6" t="s">
        <v>14</v>
      </c>
      <c r="B18" s="6"/>
      <c r="C18" s="7"/>
      <c r="D18" s="7"/>
      <c r="E18" s="7"/>
      <c r="F18" s="7"/>
      <c r="G18" s="7"/>
      <c r="H18" s="7"/>
      <c r="I18" s="7"/>
      <c r="J18" s="7"/>
      <c r="K18" s="7"/>
      <c r="L18" s="7"/>
      <c r="M18" s="7"/>
      <c r="N18" s="7"/>
      <c r="O18" s="7"/>
      <c r="P18" s="7"/>
      <c r="Q18" s="7"/>
      <c r="R18" s="7"/>
      <c r="S18" s="7"/>
      <c r="T18" s="7"/>
      <c r="U18" s="7"/>
      <c r="V18" s="7"/>
      <c r="W18" s="7"/>
      <c r="X18" s="7"/>
      <c r="Y18" s="7"/>
      <c r="Z18" s="7"/>
    </row>
    <row r="19" customFormat="false" ht="13.5" hidden="false" customHeight="true" outlineLevel="0" collapsed="false">
      <c r="A19" s="11" t="s">
        <v>15</v>
      </c>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13.5" hidden="false" customHeight="true" outlineLevel="0" collapsed="false">
      <c r="A20" s="6" t="s">
        <v>16</v>
      </c>
      <c r="B20" s="6"/>
      <c r="C20" s="7"/>
      <c r="D20" s="7"/>
      <c r="E20" s="7"/>
      <c r="F20" s="7"/>
      <c r="G20" s="7"/>
      <c r="H20" s="7"/>
      <c r="I20" s="7"/>
      <c r="J20" s="7"/>
      <c r="K20" s="7"/>
      <c r="L20" s="7"/>
      <c r="M20" s="7"/>
      <c r="N20" s="7"/>
      <c r="O20" s="7"/>
      <c r="P20" s="7"/>
      <c r="Q20" s="7"/>
      <c r="R20" s="7"/>
      <c r="S20" s="7"/>
      <c r="T20" s="7"/>
      <c r="U20" s="7"/>
      <c r="V20" s="7"/>
      <c r="W20" s="7"/>
      <c r="X20" s="7"/>
      <c r="Y20" s="7"/>
      <c r="Z20" s="7"/>
    </row>
    <row r="21" customFormat="false" ht="27.75" hidden="false" customHeight="true" outlineLevel="0" collapsed="false">
      <c r="A21" s="8" t="s">
        <v>17</v>
      </c>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13.5" hidden="false" customHeight="true" outlineLevel="0" collapsed="false">
      <c r="A22" s="6" t="s">
        <v>18</v>
      </c>
      <c r="B22" s="6"/>
      <c r="C22" s="7"/>
      <c r="D22" s="7"/>
      <c r="E22" s="7"/>
      <c r="F22" s="7"/>
      <c r="G22" s="7"/>
      <c r="H22" s="7"/>
      <c r="I22" s="7"/>
      <c r="J22" s="7"/>
      <c r="K22" s="7"/>
      <c r="L22" s="7"/>
      <c r="M22" s="7"/>
      <c r="N22" s="7"/>
      <c r="O22" s="7"/>
      <c r="P22" s="7"/>
      <c r="Q22" s="7"/>
      <c r="R22" s="7"/>
      <c r="S22" s="7"/>
      <c r="T22" s="7"/>
      <c r="U22" s="7"/>
      <c r="V22" s="7"/>
      <c r="W22" s="7"/>
      <c r="X22" s="7"/>
      <c r="Y22" s="7"/>
      <c r="Z22" s="7"/>
    </row>
    <row r="23" customFormat="false" ht="13.5" hidden="false" customHeight="true" outlineLevel="0" collapsed="false">
      <c r="A23" s="6" t="s">
        <v>19</v>
      </c>
      <c r="B23" s="6"/>
      <c r="C23" s="7"/>
      <c r="D23" s="7"/>
      <c r="E23" s="7"/>
      <c r="F23" s="7"/>
      <c r="G23" s="7"/>
      <c r="H23" s="7"/>
      <c r="I23" s="7"/>
      <c r="J23" s="7"/>
      <c r="K23" s="7"/>
      <c r="L23" s="7"/>
      <c r="M23" s="7"/>
      <c r="N23" s="7"/>
      <c r="O23" s="7"/>
      <c r="P23" s="7"/>
      <c r="Q23" s="7"/>
      <c r="R23" s="7"/>
      <c r="S23" s="7"/>
      <c r="T23" s="7"/>
      <c r="U23" s="7"/>
      <c r="V23" s="7"/>
      <c r="W23" s="7"/>
      <c r="X23" s="7"/>
      <c r="Y23" s="7"/>
      <c r="Z23" s="7"/>
    </row>
    <row r="24" customFormat="false" ht="13.5" hidden="false" customHeight="true" outlineLevel="0" collapsed="false">
      <c r="A24" s="6" t="s">
        <v>20</v>
      </c>
      <c r="B24" s="6"/>
      <c r="C24" s="7"/>
      <c r="D24" s="7"/>
      <c r="E24" s="7"/>
      <c r="F24" s="7"/>
      <c r="G24" s="7"/>
      <c r="H24" s="7"/>
      <c r="I24" s="7"/>
      <c r="J24" s="7"/>
      <c r="K24" s="7"/>
      <c r="L24" s="7"/>
      <c r="M24" s="7"/>
      <c r="N24" s="7"/>
      <c r="O24" s="7"/>
      <c r="P24" s="7"/>
      <c r="Q24" s="7"/>
      <c r="R24" s="7"/>
      <c r="S24" s="7"/>
      <c r="T24" s="7"/>
      <c r="U24" s="7"/>
      <c r="V24" s="7"/>
      <c r="W24" s="7"/>
      <c r="X24" s="7"/>
      <c r="Y24" s="7"/>
      <c r="Z24" s="7"/>
    </row>
    <row r="25" customFormat="false" ht="15" hidden="false" customHeight="true" outlineLevel="0" collapsed="false">
      <c r="A25" s="6" t="s">
        <v>21</v>
      </c>
      <c r="B25" s="6"/>
      <c r="C25" s="6" t="s">
        <v>22</v>
      </c>
      <c r="D25" s="6" t="s">
        <v>22</v>
      </c>
      <c r="E25" s="7"/>
      <c r="F25" s="7"/>
      <c r="G25" s="7"/>
      <c r="H25" s="7"/>
      <c r="I25" s="7"/>
      <c r="J25" s="7"/>
      <c r="K25" s="7"/>
      <c r="L25" s="7"/>
      <c r="M25" s="7"/>
      <c r="N25" s="7"/>
      <c r="O25" s="7"/>
      <c r="P25" s="7"/>
      <c r="Q25" s="7"/>
      <c r="R25" s="7"/>
      <c r="S25" s="7"/>
      <c r="T25" s="7"/>
      <c r="U25" s="7"/>
      <c r="V25" s="7"/>
      <c r="W25" s="7"/>
      <c r="X25" s="7"/>
      <c r="Y25" s="7"/>
      <c r="Z25" s="7"/>
    </row>
    <row r="26" customFormat="false" ht="13.5" hidden="false" customHeight="true" outlineLevel="0" collapsed="false">
      <c r="A26" s="6" t="s">
        <v>23</v>
      </c>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3.5" hidden="false" customHeight="true" outlineLevel="0" collapsed="false">
      <c r="A27" s="6" t="s">
        <v>24</v>
      </c>
      <c r="B27" s="6"/>
      <c r="C27" s="7"/>
      <c r="D27" s="7"/>
      <c r="E27" s="7"/>
      <c r="F27" s="7"/>
      <c r="G27" s="7"/>
      <c r="H27" s="7"/>
      <c r="I27" s="7"/>
      <c r="J27" s="7"/>
      <c r="K27" s="7"/>
      <c r="L27" s="7"/>
      <c r="M27" s="7"/>
      <c r="N27" s="7"/>
      <c r="O27" s="7"/>
      <c r="P27" s="7"/>
      <c r="Q27" s="7"/>
      <c r="R27" s="7"/>
      <c r="S27" s="7"/>
      <c r="T27" s="7"/>
      <c r="U27" s="7"/>
      <c r="V27" s="7"/>
      <c r="W27" s="7"/>
      <c r="X27" s="7"/>
      <c r="Y27" s="7"/>
      <c r="Z27" s="7"/>
    </row>
    <row r="28" customFormat="false" ht="13.5" hidden="false" customHeight="true" outlineLevel="0" collapsed="false">
      <c r="A28" s="6" t="s">
        <v>25</v>
      </c>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3.5" hidden="false" customHeight="true" outlineLevel="0" collapsed="false">
      <c r="A29" s="6" t="s">
        <v>26</v>
      </c>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5" hidden="false" customHeight="true" outlineLevel="0" collapsed="false">
      <c r="A30" s="6" t="s">
        <v>27</v>
      </c>
      <c r="B30" s="6"/>
      <c r="C30" s="6" t="s">
        <v>22</v>
      </c>
      <c r="D30" s="7"/>
      <c r="E30" s="7"/>
      <c r="F30" s="7"/>
      <c r="G30" s="7"/>
      <c r="H30" s="7"/>
      <c r="I30" s="7"/>
      <c r="J30" s="7"/>
      <c r="K30" s="7"/>
      <c r="L30" s="7"/>
      <c r="M30" s="7"/>
      <c r="N30" s="7"/>
      <c r="O30" s="7"/>
      <c r="P30" s="7"/>
      <c r="Q30" s="7"/>
      <c r="R30" s="7"/>
      <c r="S30" s="7"/>
      <c r="T30" s="7"/>
      <c r="U30" s="7"/>
      <c r="V30" s="7"/>
      <c r="W30" s="7"/>
      <c r="X30" s="7"/>
      <c r="Y30" s="7"/>
      <c r="Z30" s="7"/>
    </row>
    <row r="31" customFormat="false" ht="13.5" hidden="false" customHeight="true" outlineLevel="0" collapsed="false">
      <c r="A31" s="11" t="s">
        <v>28</v>
      </c>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30" hidden="false" customHeight="true" outlineLevel="0" collapsed="false">
      <c r="A32" s="8" t="s">
        <v>29</v>
      </c>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3.5" hidden="false" customHeight="true" outlineLevel="0" collapsed="false">
      <c r="A33" s="6" t="s">
        <v>30</v>
      </c>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3.5" hidden="false" customHeight="true" outlineLevel="0" collapsed="false">
      <c r="A34" s="6" t="s">
        <v>31</v>
      </c>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3.5" hidden="false" customHeight="true" outlineLevel="0" collapsed="false">
      <c r="A35" s="6" t="s">
        <v>32</v>
      </c>
      <c r="B35" s="6"/>
      <c r="C35" s="7"/>
      <c r="D35" s="7"/>
      <c r="E35" s="7"/>
      <c r="F35" s="7"/>
      <c r="G35" s="7"/>
      <c r="H35" s="7"/>
      <c r="I35" s="7"/>
      <c r="J35" s="7"/>
      <c r="K35" s="7"/>
      <c r="L35" s="7"/>
      <c r="M35" s="7"/>
      <c r="N35" s="7"/>
      <c r="O35" s="7"/>
      <c r="P35" s="7"/>
      <c r="Q35" s="7"/>
      <c r="R35" s="7"/>
      <c r="S35" s="7"/>
      <c r="T35" s="7"/>
      <c r="U35" s="7"/>
      <c r="V35" s="7"/>
      <c r="W35" s="7"/>
      <c r="X35" s="7"/>
      <c r="Y35" s="7"/>
      <c r="Z35" s="7"/>
    </row>
    <row r="36" customFormat="false" ht="13.5" hidden="false" customHeight="true" outlineLevel="0" collapsed="false">
      <c r="A36" s="6" t="s">
        <v>33</v>
      </c>
      <c r="B36" s="6"/>
      <c r="C36" s="7"/>
      <c r="D36" s="7"/>
      <c r="E36" s="7"/>
      <c r="F36" s="7"/>
      <c r="G36" s="7"/>
      <c r="H36" s="7"/>
      <c r="I36" s="7"/>
      <c r="J36" s="7"/>
      <c r="K36" s="7"/>
      <c r="L36" s="7"/>
      <c r="M36" s="7"/>
      <c r="N36" s="7"/>
      <c r="O36" s="7"/>
      <c r="P36" s="7"/>
      <c r="Q36" s="7"/>
      <c r="R36" s="7"/>
      <c r="S36" s="7"/>
      <c r="T36" s="7"/>
      <c r="U36" s="7"/>
      <c r="V36" s="7"/>
      <c r="W36" s="7"/>
      <c r="X36" s="7"/>
      <c r="Y36" s="7"/>
      <c r="Z36" s="7"/>
    </row>
    <row r="37" customFormat="false" ht="13.5" hidden="false" customHeight="true" outlineLevel="0" collapsed="false">
      <c r="A37" s="11" t="s">
        <v>34</v>
      </c>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3.5" hidden="false" customHeight="true" outlineLevel="0" collapsed="false">
      <c r="A38" s="6" t="s">
        <v>35</v>
      </c>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42" hidden="false" customHeight="true" outlineLevel="0" collapsed="false">
      <c r="A39" s="8" t="s">
        <v>36</v>
      </c>
      <c r="B39" s="6"/>
      <c r="C39" s="7"/>
      <c r="D39" s="7"/>
      <c r="E39" s="7"/>
      <c r="F39" s="7"/>
      <c r="G39" s="7"/>
      <c r="H39" s="7"/>
      <c r="I39" s="7"/>
      <c r="J39" s="7"/>
      <c r="K39" s="7"/>
      <c r="L39" s="7"/>
      <c r="M39" s="7"/>
      <c r="N39" s="7"/>
      <c r="O39" s="7"/>
      <c r="P39" s="7"/>
      <c r="Q39" s="7"/>
      <c r="R39" s="7"/>
      <c r="S39" s="7"/>
      <c r="T39" s="7"/>
      <c r="U39" s="7"/>
      <c r="V39" s="7"/>
      <c r="W39" s="7"/>
      <c r="X39" s="7"/>
      <c r="Y39" s="7"/>
      <c r="Z39" s="7"/>
    </row>
    <row r="40" customFormat="false" ht="13.5" hidden="false" customHeight="true" outlineLevel="0" collapsed="false">
      <c r="A40" s="8"/>
      <c r="B40" s="6"/>
      <c r="C40" s="7"/>
      <c r="D40" s="7"/>
      <c r="E40" s="7"/>
      <c r="F40" s="7"/>
      <c r="G40" s="7"/>
      <c r="H40" s="7"/>
      <c r="I40" s="7"/>
      <c r="J40" s="7"/>
      <c r="K40" s="7"/>
      <c r="L40" s="7"/>
      <c r="M40" s="7"/>
      <c r="N40" s="7"/>
      <c r="O40" s="7"/>
      <c r="P40" s="7"/>
      <c r="Q40" s="7"/>
      <c r="R40" s="7"/>
      <c r="S40" s="7"/>
      <c r="T40" s="7"/>
      <c r="U40" s="7"/>
      <c r="V40" s="7"/>
      <c r="W40" s="7"/>
      <c r="X40" s="7"/>
      <c r="Y40" s="7"/>
      <c r="Z40" s="7"/>
    </row>
    <row r="41" customFormat="false" ht="15" hidden="false" customHeight="true" outlineLevel="0" collapsed="false">
      <c r="A41" s="11" t="s">
        <v>37</v>
      </c>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3.5" hidden="false" customHeight="true" outlineLevel="0" collapsed="false">
      <c r="A42" s="6" t="s">
        <v>38</v>
      </c>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3.5" hidden="false" customHeight="true" outlineLevel="0" collapsed="false">
      <c r="A43" s="6" t="s">
        <v>39</v>
      </c>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3.5" hidden="false" customHeight="true" outlineLevel="0" collapsed="false">
      <c r="A44" s="6" t="s">
        <v>40</v>
      </c>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3.5" hidden="false" customHeight="true" outlineLevel="0" collapsed="false">
      <c r="A45" s="6" t="s">
        <v>41</v>
      </c>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3.5" hidden="false" customHeight="true" outlineLevel="0" collapsed="false">
      <c r="A46" s="6" t="s">
        <v>42</v>
      </c>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3.5" hidden="false" customHeight="true" outlineLevel="0" collapsed="false">
      <c r="A47" s="6" t="s">
        <v>43</v>
      </c>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5" hidden="false" customHeight="true" outlineLevel="0" collapsed="false">
      <c r="A48" s="6" t="s">
        <v>44</v>
      </c>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3.5" hidden="false" customHeight="true" outlineLevel="0" collapsed="false">
      <c r="A49" s="6"/>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3.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3.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3.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3.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3.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3.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3.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3.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3.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3.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3.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3.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3.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3.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3.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3.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3.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3.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3.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3.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3.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3.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3.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3.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3.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3.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3.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3.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3.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3.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3.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3.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3.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3.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3.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3.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3.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3.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3.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3.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3.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3.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3.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3.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3.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3.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3.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3.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3.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3.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3.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3.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3.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3.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3.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3.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3.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3.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3.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3.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3.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3.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3.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3.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3.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3.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3.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3.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3.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3.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3.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3.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3.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3.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3.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3.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3.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3.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3.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3.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3.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3.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3.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3.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3.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3.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3.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3.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3.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3.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3.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3.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3.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3.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3.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3.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3.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3.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3.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3.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3.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3.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3.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3.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3.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3.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3.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3.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3.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3.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3.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3.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3.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3.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3.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3.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3.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3.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3.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3.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3.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3.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3.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3.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3.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3.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3.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3.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3.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3.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3.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3.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3.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3.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3.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3.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3.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3.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3.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3.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3.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3.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3.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3.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3.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3.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3.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3.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3.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3.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3.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3.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3.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3.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3.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3.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3.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3.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3.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3.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3.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3.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3.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3.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3.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3.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3.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3.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3.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3.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3.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3.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3.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3.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3.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3.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3.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3.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3.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3.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3.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3.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3.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3.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3.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3.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3.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3.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3.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3.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3.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3.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3.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3.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3.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3.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3.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3.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3.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3.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3.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3.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3.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3.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3.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3.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3.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3.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3.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3.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3.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3.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3.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3.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3.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3.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3.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3.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3.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3.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3.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3.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3.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3.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3.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3.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3.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3.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3.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3.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3.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3.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3.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3.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3.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3.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3.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3.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3.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3.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3.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3.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3.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3.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3.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3.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3.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3.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3.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3.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3.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3.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3.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3.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3.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3.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3.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3.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3.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3.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3.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3.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3.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3.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3.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3.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3.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3.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3.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3.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3.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3.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3.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3.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3.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3.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3.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3.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3.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3.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3.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3.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3.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3.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3.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3.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3.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3.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3.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3.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3.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3.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3.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3.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3.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3.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3.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3.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3.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3.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3.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3.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3.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3.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3.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3.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3.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3.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3.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3.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3.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3.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3.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3.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3.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3.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3.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3.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3.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3.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3.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3.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3.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3.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3.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3.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3.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3.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3.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3.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3.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3.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3.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3.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3.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3.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3.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3.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3.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3.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3.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3.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3.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3.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3.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3.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3.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3.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3.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3.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3.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3.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3.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3.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3.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3.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3.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3.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3.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3.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3.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3.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3.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3.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3.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3.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3.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3.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3.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3.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3.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3.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3.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3.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3.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3.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3.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3.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3.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3.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3.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3.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3.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3.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3.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3.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3.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3.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3.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3.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3.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3.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3.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3.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3.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3.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3.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3.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3.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3.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3.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3.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3.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3.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3.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3.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3.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3.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3.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3.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3.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3.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3.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3.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3.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3.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3.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3.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3.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3.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3.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3.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3.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3.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3.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3.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3.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3.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3.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3.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3.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3.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3.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3.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3.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3.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3.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3.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3.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3.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3.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3.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3.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3.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3.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3.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3.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3.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3.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3.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3.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3.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3.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3.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3.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3.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3.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3.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3.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3.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3.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3.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3.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3.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3.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3.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3.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3.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3.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3.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3.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3.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3.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3.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3.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3.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3.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3.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3.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3.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3.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3.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3.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3.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3.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3.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3.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3.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3.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3.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3.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3.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3.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3.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3.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3.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3.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3.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3.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3.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3.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3.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3.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3.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3.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3.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3.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3.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3.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3.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3.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3.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3.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3.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3.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3.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3.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3.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3.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3.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3.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3.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3.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3.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3.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3.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3.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3.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3.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3.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3.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3.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3.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3.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3.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3.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3.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3.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3.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3.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3.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3.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3.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3.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3.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3.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3.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3.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3.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3.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3.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3.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3.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3.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3.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3.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3.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3.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3.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3.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3.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3.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3.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3.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3.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3.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3.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3.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3.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3.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3.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3.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3.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3.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3.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3.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3.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3.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3.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3.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3.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3.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3.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3.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3.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3.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3.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3.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3.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3.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3.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3.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3.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3.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3.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3.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3.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3.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3.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3.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3.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3.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3.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3.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3.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3.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3.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3.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3.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3.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3.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3.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3.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3.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3.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3.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3.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3.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3.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3.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3.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3.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3.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3.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3.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3.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3.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3.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3.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3.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3.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3.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3.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3.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3.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3.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3.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3.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3.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3.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3.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3.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3.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3.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3.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3.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3.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3.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3.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3.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3.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3.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3.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3.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3.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3.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3.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3.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3.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3.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3.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3.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3.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3.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3.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3.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3.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3.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3.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3.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3.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3.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3.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3.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3.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3.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3.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3.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3.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3.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3.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3.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3.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3.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3.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3.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3.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3.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3.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3.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3.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3.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3.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3.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3.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3.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3.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3.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3.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3.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3.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3.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3.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3.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3.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3.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3.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3.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3.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3.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3.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3.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3.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3.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3.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3.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3.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3.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3.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3.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3.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3.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3.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3.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3.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3.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3.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3.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3.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3.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3.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3.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3.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3.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3.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3.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3.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3.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3.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3.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3.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3.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3.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3.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3.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3.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3.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3.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3.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3.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3.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3.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3.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3.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3.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3.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3.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3.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3.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3.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3.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3.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3.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3.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3.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3.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3.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3.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3.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3.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3.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3.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3.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3.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3.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3.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3.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3.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3.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3.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3.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3.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3.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3.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3.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3.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3.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3.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3.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3.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3.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3.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3.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3.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3.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3.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3.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3.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3.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3.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3.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3.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3.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3.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3.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3.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3.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3.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3.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3.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3.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3.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3.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3.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3.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3.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3.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3.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3.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3.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3.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3.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3.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3.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3.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3.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3.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3.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3.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3.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3.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3.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3.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3.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3.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3.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3.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3.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3.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3.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3.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3.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3.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3.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3.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3.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3.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3.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3.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3.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3.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3.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3.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3.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3.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3.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3.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3.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3.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3.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3.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3.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3.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3.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3.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3.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3.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3.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3.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3.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3.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3.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3.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3.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3.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3.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3.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3.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3.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3.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3.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3.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3.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3.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3.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3.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3.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3.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3.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3.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3.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3.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3.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3.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3.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3.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3.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3.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3.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3.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3.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3.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3.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3.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3.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3.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3.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3.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3.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3.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3.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3.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3.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3.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3.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3.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3.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3.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3.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3.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3.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3.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3.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3.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3.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3.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3.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3.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3.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3.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3.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3.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3.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3.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3.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3.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3.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3.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3.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3.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3.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3.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3.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3.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3.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3.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3.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3.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3.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3.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3.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zeroHeight="false" outlineLevelRow="0" outlineLevelCol="0"/>
  <cols>
    <col collapsed="false" customWidth="true" hidden="false" outlineLevel="0" max="1" min="1" style="1" width="28.13"/>
    <col collapsed="false" customWidth="true" hidden="false" outlineLevel="0" max="2" min="2" style="1" width="10"/>
    <col collapsed="false" customWidth="true" hidden="false" outlineLevel="0" max="3" min="3" style="1" width="14.38"/>
    <col collapsed="false" customWidth="true" hidden="false" outlineLevel="0" max="4" min="4" style="1" width="8"/>
    <col collapsed="false" customWidth="true" hidden="false" outlineLevel="0" max="5" min="5" style="1" width="38"/>
    <col collapsed="false" customWidth="true" hidden="false" outlineLevel="0" max="6" min="6" style="1" width="48.13"/>
    <col collapsed="false" customWidth="true" hidden="false" outlineLevel="0" max="26" min="7" style="1" width="10"/>
  </cols>
  <sheetData>
    <row r="1" customFormat="false" ht="12.75" hidden="false" customHeight="true" outlineLevel="0" collapsed="false">
      <c r="A1" s="13"/>
      <c r="B1" s="14"/>
      <c r="C1" s="14"/>
      <c r="D1" s="14"/>
      <c r="E1" s="14"/>
      <c r="F1" s="14"/>
      <c r="G1" s="14"/>
      <c r="H1" s="14"/>
      <c r="I1" s="14"/>
      <c r="J1" s="14"/>
      <c r="K1" s="14"/>
      <c r="L1" s="14"/>
      <c r="M1" s="14"/>
      <c r="N1" s="14"/>
      <c r="O1" s="14"/>
      <c r="P1" s="14"/>
      <c r="Q1" s="14"/>
      <c r="R1" s="14"/>
      <c r="S1" s="14"/>
      <c r="T1" s="14"/>
      <c r="U1" s="14"/>
      <c r="V1" s="14"/>
      <c r="W1" s="14"/>
      <c r="X1" s="14"/>
      <c r="Y1" s="14"/>
      <c r="Z1" s="14"/>
    </row>
    <row r="2" customFormat="false" ht="75.75" hidden="false" customHeight="true" outlineLevel="0" collapsed="false">
      <c r="A2" s="15"/>
      <c r="B2" s="16" t="s">
        <v>45</v>
      </c>
      <c r="C2" s="16"/>
      <c r="D2" s="16"/>
      <c r="E2" s="16"/>
      <c r="F2" s="16"/>
      <c r="G2" s="17"/>
      <c r="H2" s="17"/>
      <c r="I2" s="17"/>
      <c r="J2" s="17"/>
      <c r="K2" s="17"/>
      <c r="L2" s="17"/>
      <c r="M2" s="17"/>
      <c r="N2" s="17"/>
      <c r="O2" s="17"/>
      <c r="P2" s="17"/>
      <c r="Q2" s="17"/>
      <c r="R2" s="17"/>
      <c r="S2" s="17"/>
      <c r="T2" s="17"/>
      <c r="U2" s="17"/>
      <c r="V2" s="17"/>
      <c r="W2" s="17"/>
      <c r="X2" s="17"/>
      <c r="Y2" s="17"/>
      <c r="Z2" s="17"/>
    </row>
    <row r="3" customFormat="false" ht="12.75" hidden="false" customHeight="true" outlineLevel="0" collapsed="false">
      <c r="A3" s="18"/>
      <c r="B3" s="19"/>
      <c r="C3" s="14"/>
      <c r="D3" s="14"/>
      <c r="E3" s="20"/>
      <c r="F3" s="14"/>
      <c r="G3" s="14"/>
      <c r="H3" s="14"/>
      <c r="I3" s="14"/>
      <c r="J3" s="14"/>
      <c r="K3" s="14"/>
      <c r="L3" s="14"/>
      <c r="M3" s="14"/>
      <c r="N3" s="14"/>
      <c r="O3" s="14"/>
      <c r="P3" s="14"/>
      <c r="Q3" s="14"/>
      <c r="R3" s="14"/>
      <c r="S3" s="14"/>
      <c r="T3" s="14"/>
      <c r="U3" s="14"/>
      <c r="V3" s="14"/>
      <c r="W3" s="14"/>
      <c r="X3" s="14"/>
      <c r="Y3" s="14"/>
      <c r="Z3" s="14"/>
    </row>
    <row r="4" customFormat="false" ht="14.25" hidden="false" customHeight="true" outlineLevel="0" collapsed="false">
      <c r="A4" s="21" t="s">
        <v>46</v>
      </c>
      <c r="B4" s="22" t="s">
        <v>47</v>
      </c>
      <c r="C4" s="22"/>
      <c r="D4" s="22"/>
      <c r="E4" s="21" t="s">
        <v>48</v>
      </c>
      <c r="F4" s="23" t="s">
        <v>49</v>
      </c>
      <c r="G4" s="14"/>
      <c r="H4" s="14"/>
      <c r="I4" s="14"/>
      <c r="J4" s="14"/>
      <c r="K4" s="14"/>
      <c r="L4" s="14"/>
      <c r="M4" s="14"/>
      <c r="N4" s="14"/>
      <c r="O4" s="14"/>
      <c r="P4" s="14"/>
      <c r="Q4" s="14"/>
      <c r="R4" s="14"/>
      <c r="S4" s="14"/>
      <c r="T4" s="14"/>
      <c r="U4" s="14"/>
      <c r="V4" s="14"/>
      <c r="W4" s="14"/>
      <c r="X4" s="14"/>
      <c r="Y4" s="14"/>
      <c r="Z4" s="14"/>
    </row>
    <row r="5" customFormat="false" ht="14.25" hidden="false" customHeight="true" outlineLevel="0" collapsed="false">
      <c r="A5" s="21" t="s">
        <v>50</v>
      </c>
      <c r="B5" s="22" t="s">
        <v>51</v>
      </c>
      <c r="C5" s="22"/>
      <c r="D5" s="22"/>
      <c r="E5" s="21" t="s">
        <v>52</v>
      </c>
      <c r="F5" s="24"/>
      <c r="G5" s="14" t="s">
        <v>53</v>
      </c>
      <c r="H5" s="14"/>
      <c r="I5" s="14"/>
      <c r="J5" s="14"/>
      <c r="K5" s="14"/>
      <c r="L5" s="14"/>
      <c r="M5" s="14"/>
      <c r="N5" s="14"/>
      <c r="O5" s="14"/>
      <c r="P5" s="14"/>
      <c r="Q5" s="14"/>
      <c r="R5" s="14"/>
      <c r="S5" s="14"/>
      <c r="T5" s="14"/>
      <c r="U5" s="14"/>
      <c r="V5" s="14"/>
      <c r="W5" s="14"/>
      <c r="X5" s="14"/>
      <c r="Y5" s="14"/>
      <c r="Z5" s="14"/>
    </row>
    <row r="6" customFormat="false" ht="15.75" hidden="false" customHeight="true" outlineLevel="0" collapsed="false">
      <c r="A6" s="25" t="s">
        <v>54</v>
      </c>
      <c r="B6" s="26" t="str">
        <f aca="false">B5&amp;"_"&amp;"Test Report"&amp;"_"&amp;"v"&amp;F6</f>
        <v>DMS_Test Report_v0.3.1</v>
      </c>
      <c r="C6" s="26"/>
      <c r="D6" s="26"/>
      <c r="E6" s="21" t="s">
        <v>55</v>
      </c>
      <c r="F6" s="27" t="s">
        <v>56</v>
      </c>
      <c r="G6" s="14"/>
      <c r="H6" s="14"/>
      <c r="I6" s="14"/>
      <c r="J6" s="14"/>
      <c r="K6" s="14"/>
      <c r="L6" s="14"/>
      <c r="M6" s="14"/>
      <c r="N6" s="14"/>
      <c r="O6" s="14"/>
      <c r="P6" s="14"/>
      <c r="Q6" s="14"/>
      <c r="R6" s="14"/>
      <c r="S6" s="14"/>
      <c r="T6" s="14"/>
      <c r="U6" s="14"/>
      <c r="V6" s="14"/>
      <c r="W6" s="14"/>
      <c r="X6" s="14"/>
      <c r="Y6" s="14"/>
      <c r="Z6" s="14"/>
    </row>
    <row r="7" customFormat="false" ht="12.75" hidden="false" customHeight="true" outlineLevel="0" collapsed="false">
      <c r="A7" s="28"/>
      <c r="B7" s="19"/>
      <c r="C7" s="14"/>
      <c r="D7" s="14"/>
      <c r="E7" s="29"/>
      <c r="F7" s="19"/>
      <c r="G7" s="14"/>
      <c r="H7" s="14"/>
      <c r="I7" s="14"/>
      <c r="J7" s="14"/>
      <c r="K7" s="14"/>
      <c r="L7" s="14"/>
      <c r="M7" s="14"/>
      <c r="N7" s="14"/>
      <c r="O7" s="14"/>
      <c r="P7" s="14"/>
      <c r="Q7" s="14"/>
      <c r="R7" s="14"/>
      <c r="S7" s="14"/>
      <c r="T7" s="14"/>
      <c r="U7" s="14"/>
      <c r="V7" s="14"/>
      <c r="W7" s="14"/>
      <c r="X7" s="14"/>
      <c r="Y7" s="14"/>
      <c r="Z7" s="14"/>
    </row>
    <row r="8" customFormat="false" ht="12.75" hidden="false" customHeight="true" outlineLevel="0" collapsed="false">
      <c r="A8" s="14"/>
      <c r="B8" s="14"/>
      <c r="C8" s="14"/>
      <c r="D8" s="14"/>
      <c r="E8" s="14"/>
      <c r="F8" s="14"/>
      <c r="G8" s="14"/>
      <c r="H8" s="14"/>
      <c r="I8" s="14"/>
      <c r="J8" s="14"/>
      <c r="K8" s="14"/>
      <c r="L8" s="14"/>
      <c r="M8" s="14"/>
      <c r="N8" s="14"/>
      <c r="O8" s="14"/>
      <c r="P8" s="14"/>
      <c r="Q8" s="14"/>
      <c r="R8" s="14"/>
      <c r="S8" s="14"/>
      <c r="T8" s="14"/>
      <c r="U8" s="14"/>
      <c r="V8" s="14"/>
      <c r="W8" s="14"/>
      <c r="X8" s="14"/>
      <c r="Y8" s="14"/>
      <c r="Z8" s="14"/>
    </row>
    <row r="9" customFormat="false" ht="12.75" hidden="false" customHeight="true" outlineLevel="0" collapsed="false">
      <c r="A9" s="30" t="s">
        <v>57</v>
      </c>
      <c r="B9" s="14" t="s">
        <v>58</v>
      </c>
      <c r="C9" s="14"/>
      <c r="D9" s="14"/>
      <c r="E9" s="14"/>
      <c r="F9" s="14"/>
      <c r="G9" s="14"/>
      <c r="H9" s="14"/>
      <c r="I9" s="14"/>
      <c r="J9" s="14"/>
      <c r="K9" s="14"/>
      <c r="L9" s="14"/>
      <c r="M9" s="14"/>
      <c r="N9" s="14"/>
      <c r="O9" s="14"/>
      <c r="P9" s="14"/>
      <c r="Q9" s="14"/>
      <c r="R9" s="14"/>
      <c r="S9" s="14"/>
      <c r="T9" s="14"/>
      <c r="U9" s="14"/>
      <c r="V9" s="14"/>
      <c r="W9" s="14"/>
      <c r="X9" s="14"/>
      <c r="Y9" s="14"/>
      <c r="Z9" s="14"/>
    </row>
    <row r="10" customFormat="false" ht="12.75" hidden="false" customHeight="true" outlineLevel="0" collapsed="false">
      <c r="A10" s="31" t="s">
        <v>59</v>
      </c>
      <c r="B10" s="32" t="s">
        <v>55</v>
      </c>
      <c r="C10" s="32" t="s">
        <v>60</v>
      </c>
      <c r="D10" s="32" t="s">
        <v>61</v>
      </c>
      <c r="E10" s="32" t="s">
        <v>62</v>
      </c>
      <c r="F10" s="33" t="s">
        <v>63</v>
      </c>
      <c r="G10" s="34"/>
      <c r="H10" s="34"/>
      <c r="I10" s="34"/>
      <c r="J10" s="34"/>
      <c r="K10" s="34"/>
      <c r="L10" s="34"/>
      <c r="M10" s="34"/>
      <c r="N10" s="34"/>
      <c r="O10" s="34"/>
      <c r="P10" s="34"/>
      <c r="Q10" s="34"/>
      <c r="R10" s="34"/>
      <c r="S10" s="34"/>
      <c r="T10" s="34"/>
      <c r="U10" s="34"/>
      <c r="V10" s="34"/>
      <c r="W10" s="34"/>
      <c r="X10" s="34"/>
      <c r="Y10" s="34"/>
      <c r="Z10" s="34"/>
    </row>
    <row r="11" customFormat="false" ht="26.25" hidden="false" customHeight="true" outlineLevel="0" collapsed="false">
      <c r="A11" s="35" t="n">
        <v>46054</v>
      </c>
      <c r="B11" s="36" t="s">
        <v>64</v>
      </c>
      <c r="C11" s="37" t="s">
        <v>65</v>
      </c>
      <c r="D11" s="37" t="s">
        <v>66</v>
      </c>
      <c r="E11" s="37" t="s">
        <v>67</v>
      </c>
      <c r="F11" s="38" t="s">
        <v>68</v>
      </c>
      <c r="G11" s="39"/>
      <c r="H11" s="39"/>
      <c r="I11" s="39"/>
      <c r="J11" s="39"/>
      <c r="K11" s="39"/>
      <c r="L11" s="39"/>
      <c r="M11" s="39"/>
      <c r="N11" s="39"/>
      <c r="O11" s="39"/>
      <c r="P11" s="39"/>
      <c r="Q11" s="39"/>
      <c r="R11" s="39"/>
      <c r="S11" s="39"/>
      <c r="T11" s="39"/>
      <c r="U11" s="39"/>
      <c r="V11" s="39"/>
      <c r="W11" s="39"/>
      <c r="X11" s="39"/>
      <c r="Y11" s="39"/>
      <c r="Z11" s="39"/>
    </row>
    <row r="12" customFormat="false" ht="21.75" hidden="false" customHeight="true" outlineLevel="0" collapsed="false">
      <c r="A12" s="35" t="n">
        <v>46055</v>
      </c>
      <c r="B12" s="36" t="s">
        <v>69</v>
      </c>
      <c r="C12" s="37" t="s">
        <v>65</v>
      </c>
      <c r="D12" s="37" t="s">
        <v>66</v>
      </c>
      <c r="E12" s="37" t="s">
        <v>70</v>
      </c>
      <c r="F12" s="38" t="s">
        <v>68</v>
      </c>
      <c r="G12" s="39"/>
      <c r="H12" s="39"/>
      <c r="I12" s="39"/>
      <c r="J12" s="39"/>
      <c r="K12" s="39"/>
      <c r="L12" s="39"/>
      <c r="M12" s="39"/>
      <c r="N12" s="39"/>
      <c r="O12" s="39"/>
      <c r="P12" s="39"/>
      <c r="Q12" s="39"/>
      <c r="R12" s="39"/>
      <c r="S12" s="39"/>
      <c r="T12" s="39"/>
      <c r="U12" s="39"/>
      <c r="V12" s="39"/>
      <c r="W12" s="39"/>
      <c r="X12" s="39"/>
      <c r="Y12" s="39"/>
      <c r="Z12" s="39"/>
    </row>
    <row r="13" customFormat="false" ht="19.5" hidden="false" customHeight="true" outlineLevel="0" collapsed="false">
      <c r="A13" s="35" t="n">
        <v>46056</v>
      </c>
      <c r="B13" s="36" t="s">
        <v>71</v>
      </c>
      <c r="C13" s="37" t="s">
        <v>65</v>
      </c>
      <c r="D13" s="37" t="s">
        <v>72</v>
      </c>
      <c r="E13" s="37" t="s">
        <v>73</v>
      </c>
      <c r="F13" s="38" t="s">
        <v>68</v>
      </c>
      <c r="G13" s="39"/>
      <c r="H13" s="39"/>
      <c r="I13" s="39"/>
      <c r="J13" s="39"/>
      <c r="K13" s="39"/>
      <c r="L13" s="39"/>
      <c r="M13" s="39"/>
      <c r="N13" s="39"/>
      <c r="O13" s="39"/>
      <c r="P13" s="39"/>
      <c r="Q13" s="39"/>
      <c r="R13" s="39"/>
      <c r="S13" s="39"/>
      <c r="T13" s="39"/>
      <c r="U13" s="39"/>
      <c r="V13" s="39"/>
      <c r="W13" s="39"/>
      <c r="X13" s="39"/>
      <c r="Y13" s="39"/>
      <c r="Z13" s="39"/>
    </row>
    <row r="14" customFormat="false" ht="19.5" hidden="false" customHeight="true" outlineLevel="0" collapsed="false">
      <c r="A14" s="40" t="n">
        <v>46068</v>
      </c>
      <c r="B14" s="36" t="s">
        <v>71</v>
      </c>
      <c r="C14" s="37" t="s">
        <v>65</v>
      </c>
      <c r="D14" s="37" t="s">
        <v>74</v>
      </c>
      <c r="E14" s="37" t="s">
        <v>73</v>
      </c>
      <c r="F14" s="38" t="s">
        <v>68</v>
      </c>
      <c r="G14" s="39"/>
      <c r="H14" s="39"/>
      <c r="I14" s="39"/>
      <c r="J14" s="39"/>
      <c r="K14" s="39"/>
      <c r="L14" s="39"/>
      <c r="M14" s="39"/>
      <c r="N14" s="39"/>
      <c r="O14" s="39"/>
      <c r="P14" s="39"/>
      <c r="Q14" s="39"/>
      <c r="R14" s="39"/>
      <c r="S14" s="39"/>
      <c r="T14" s="39"/>
      <c r="U14" s="39"/>
      <c r="V14" s="39"/>
      <c r="W14" s="39"/>
      <c r="X14" s="39"/>
      <c r="Y14" s="39"/>
      <c r="Z14" s="39"/>
    </row>
    <row r="15" customFormat="false" ht="21.75" hidden="false" customHeight="true" outlineLevel="0" collapsed="false">
      <c r="A15" s="35" t="n">
        <v>46082</v>
      </c>
      <c r="B15" s="36" t="s">
        <v>71</v>
      </c>
      <c r="C15" s="37" t="s">
        <v>65</v>
      </c>
      <c r="D15" s="41" t="s">
        <v>75</v>
      </c>
      <c r="E15" s="37" t="s">
        <v>76</v>
      </c>
      <c r="F15" s="38" t="s">
        <v>68</v>
      </c>
      <c r="G15" s="39"/>
      <c r="H15" s="39"/>
      <c r="I15" s="39"/>
      <c r="J15" s="39"/>
      <c r="K15" s="39"/>
      <c r="L15" s="39"/>
      <c r="M15" s="39"/>
      <c r="N15" s="39"/>
      <c r="O15" s="39"/>
      <c r="P15" s="39"/>
      <c r="Q15" s="39"/>
      <c r="R15" s="39"/>
      <c r="S15" s="39"/>
      <c r="T15" s="39"/>
      <c r="U15" s="39"/>
      <c r="V15" s="39"/>
      <c r="W15" s="39"/>
      <c r="X15" s="39"/>
      <c r="Y15" s="39"/>
      <c r="Z15" s="39"/>
    </row>
    <row r="16" customFormat="false" ht="21.75" hidden="false" customHeight="true" outlineLevel="0" collapsed="false">
      <c r="A16" s="35" t="n">
        <v>46101</v>
      </c>
      <c r="B16" s="36" t="s">
        <v>71</v>
      </c>
      <c r="C16" s="37" t="s">
        <v>65</v>
      </c>
      <c r="D16" s="37" t="s">
        <v>72</v>
      </c>
      <c r="E16" s="37" t="s">
        <v>76</v>
      </c>
      <c r="F16" s="38" t="s">
        <v>68</v>
      </c>
      <c r="G16" s="39"/>
      <c r="H16" s="39"/>
      <c r="I16" s="39"/>
      <c r="J16" s="39"/>
      <c r="K16" s="39"/>
      <c r="L16" s="39"/>
      <c r="M16" s="39"/>
      <c r="N16" s="39"/>
      <c r="O16" s="39"/>
      <c r="P16" s="39"/>
      <c r="Q16" s="39"/>
      <c r="R16" s="39"/>
      <c r="S16" s="39"/>
      <c r="T16" s="39"/>
      <c r="U16" s="39"/>
      <c r="V16" s="39"/>
      <c r="W16" s="39"/>
      <c r="X16" s="39"/>
      <c r="Y16" s="39"/>
      <c r="Z16" s="39"/>
    </row>
    <row r="17" customFormat="false" ht="19.5" hidden="false" customHeight="true" outlineLevel="0" collapsed="false">
      <c r="A17" s="35" t="n">
        <v>46117</v>
      </c>
      <c r="B17" s="36" t="s">
        <v>56</v>
      </c>
      <c r="C17" s="37" t="s">
        <v>65</v>
      </c>
      <c r="D17" s="41" t="s">
        <v>75</v>
      </c>
      <c r="E17" s="37" t="s">
        <v>77</v>
      </c>
      <c r="F17" s="38" t="s">
        <v>68</v>
      </c>
      <c r="G17" s="39"/>
      <c r="H17" s="39"/>
      <c r="I17" s="39"/>
      <c r="J17" s="39"/>
      <c r="K17" s="39"/>
      <c r="L17" s="39"/>
      <c r="M17" s="39"/>
      <c r="N17" s="39"/>
      <c r="O17" s="39"/>
      <c r="P17" s="39"/>
      <c r="Q17" s="39"/>
      <c r="R17" s="39"/>
      <c r="S17" s="39"/>
      <c r="T17" s="39"/>
      <c r="U17" s="39"/>
      <c r="V17" s="39"/>
      <c r="W17" s="39"/>
      <c r="X17" s="39"/>
      <c r="Y17" s="39"/>
      <c r="Z17" s="39"/>
    </row>
    <row r="18" customFormat="false" ht="19.5" hidden="false" customHeight="true" outlineLevel="0" collapsed="false">
      <c r="A18" s="35" t="n">
        <v>46148</v>
      </c>
      <c r="B18" s="36" t="s">
        <v>78</v>
      </c>
      <c r="C18" s="37" t="s">
        <v>65</v>
      </c>
      <c r="D18" s="41" t="s">
        <v>72</v>
      </c>
      <c r="E18" s="37" t="s">
        <v>79</v>
      </c>
      <c r="F18" s="38" t="s">
        <v>68</v>
      </c>
      <c r="G18" s="39"/>
      <c r="H18" s="39"/>
      <c r="I18" s="39"/>
      <c r="J18" s="39"/>
      <c r="K18" s="39"/>
      <c r="L18" s="39"/>
      <c r="M18" s="39"/>
      <c r="N18" s="39"/>
      <c r="O18" s="39"/>
      <c r="P18" s="39"/>
      <c r="Q18" s="39"/>
      <c r="R18" s="39"/>
      <c r="S18" s="39"/>
      <c r="T18" s="39"/>
      <c r="U18" s="39"/>
      <c r="V18" s="39"/>
      <c r="W18" s="39"/>
      <c r="X18" s="39"/>
      <c r="Y18" s="39"/>
      <c r="Z18" s="39"/>
    </row>
    <row r="19" customFormat="false" ht="12.75" hidden="false" customHeight="true" outlineLevel="0" collapsed="false">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ustomFormat="false" ht="12.75" hidden="false" customHeight="true" outlineLevel="0" collapsed="false">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ustomFormat="false" ht="12.75" hidden="false" customHeight="true" outlineLevel="0" collapsed="false">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ustomFormat="false" ht="12.75" hidden="false" customHeight="true" outlineLevel="0" collapsed="false">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ustomFormat="false" ht="12.75" hidden="false" customHeight="true" outlineLevel="0" collapsed="false">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ustomFormat="false" ht="12.75" hidden="false" customHeight="true" outlineLevel="0" collapsed="false">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ustomFormat="false" ht="12.75" hidden="false" customHeight="true" outlineLevel="0" collapsed="false">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ustomFormat="false" ht="12.75" hidden="false" customHeight="true" outlineLevel="0" collapsed="false">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ustomFormat="false" ht="12.75" hidden="false" customHeight="true" outlineLevel="0" collapsed="false">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ustomFormat="false" ht="12.75" hidden="false" customHeight="true" outlineLevel="0" collapsed="false">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ustomFormat="false" ht="12.75" hidden="false" customHeight="true" outlineLevel="0" collapsed="false">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ustomFormat="false" ht="12.75" hidden="false" customHeight="true" outlineLevel="0" collapsed="false">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ustomFormat="false" ht="12.75" hidden="false" customHeight="true" outlineLevel="0" collapsed="false">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ustomFormat="false" ht="12.75" hidden="false" customHeight="true" outlineLevel="0" collapsed="false">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ustomFormat="false" ht="12.75" hidden="false" customHeight="true" outlineLevel="0" collapsed="false">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ustomFormat="false" ht="12.75" hidden="false" customHeight="true" outlineLevel="0" collapsed="false">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ustomFormat="false" ht="12.75" hidden="false" customHeight="true" outlineLevel="0" collapsed="false">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ustomFormat="false" ht="12.75" hidden="false" customHeight="true" outlineLevel="0" collapsed="false">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ustomFormat="false" ht="12.75" hidden="false" customHeight="true" outlineLevel="0" collapsed="false">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ustomFormat="false" ht="12.75" hidden="false" customHeight="true" outlineLevel="0" collapsed="false">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ustomFormat="false" ht="12.75" hidden="false" customHeight="true" outlineLevel="0" collapsed="false">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ustomFormat="false" ht="12.75" hidden="false" customHeight="true" outlineLevel="0" collapsed="false">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ustomFormat="false" ht="12.75" hidden="false" customHeight="true" outlineLevel="0" collapsed="false">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ustomFormat="false" ht="12.75" hidden="false" customHeight="true" outlineLevel="0" collapsed="false">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ustomFormat="false" ht="12.75" hidden="false" customHeight="true" outlineLevel="0" collapsed="false">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ustomFormat="false" ht="12.75" hidden="false" customHeight="true" outlineLevel="0" collapsed="false">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ustomFormat="false" ht="12.75" hidden="false" customHeight="true" outlineLevel="0" collapsed="false">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ustomFormat="false" ht="12.75" hidden="false" customHeight="true" outlineLevel="0" collapsed="false">
      <c r="A46" s="1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ustomFormat="false" ht="12.75" hidden="false" customHeight="true" outlineLevel="0" collapsed="false">
      <c r="A47" s="1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ustomFormat="false" ht="12.75" hidden="false" customHeight="true" outlineLevel="0" collapsed="false">
      <c r="A48" s="1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ustomFormat="false" ht="12.75" hidden="false" customHeight="true" outlineLevel="0" collapsed="false">
      <c r="A49" s="1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ustomFormat="false" ht="12.75" hidden="false" customHeight="true" outlineLevel="0" collapsed="false">
      <c r="A50" s="1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ustomFormat="false" ht="12.75" hidden="false" customHeight="true" outlineLevel="0" collapsed="false">
      <c r="A51" s="1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ustomFormat="false" ht="12.75" hidden="false" customHeight="true" outlineLevel="0" collapsed="false">
      <c r="A52" s="1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ustomFormat="false" ht="12.75" hidden="false" customHeight="true" outlineLevel="0" collapsed="false">
      <c r="A53" s="1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ustomFormat="false" ht="12.75" hidden="false" customHeight="true" outlineLevel="0" collapsed="false">
      <c r="A54" s="1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ustomFormat="false" ht="12.75" hidden="false" customHeight="true" outlineLevel="0" collapsed="false">
      <c r="A55" s="1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ustomFormat="false" ht="12.75" hidden="false" customHeight="true" outlineLevel="0" collapsed="false">
      <c r="A56" s="1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ustomFormat="false" ht="12.75" hidden="false" customHeight="true" outlineLevel="0" collapsed="false">
      <c r="A57" s="1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ustomFormat="false" ht="12.75" hidden="false" customHeight="true" outlineLevel="0" collapsed="false">
      <c r="A58" s="1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ustomFormat="false" ht="12.75" hidden="false" customHeight="true" outlineLevel="0" collapsed="false">
      <c r="A59" s="1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ustomFormat="false" ht="12.75" hidden="false" customHeight="true" outlineLevel="0" collapsed="false">
      <c r="A60" s="1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ustomFormat="false" ht="12.75" hidden="false" customHeight="true" outlineLevel="0" collapsed="false">
      <c r="A61" s="1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ustomFormat="false" ht="12.75" hidden="false" customHeight="true" outlineLevel="0" collapsed="false">
      <c r="A62" s="1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ustomFormat="false" ht="12.75" hidden="false" customHeight="true" outlineLevel="0" collapsed="false">
      <c r="A63" s="1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ustomFormat="false" ht="12.75" hidden="false" customHeight="true" outlineLevel="0" collapsed="false">
      <c r="A64" s="1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ustomFormat="false" ht="12.75" hidden="false" customHeight="true" outlineLevel="0" collapsed="false">
      <c r="A65" s="1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ustomFormat="false" ht="12.75" hidden="false" customHeight="true" outlineLevel="0" collapsed="false">
      <c r="A66" s="1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ustomFormat="false" ht="12.75" hidden="false" customHeight="true" outlineLevel="0" collapsed="false">
      <c r="A67" s="1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ustomFormat="false" ht="12.75" hidden="false" customHeight="true" outlineLevel="0" collapsed="false">
      <c r="A68" s="1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ustomFormat="false" ht="12.75" hidden="false" customHeight="true" outlineLevel="0" collapsed="false">
      <c r="A69" s="1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ustomFormat="false" ht="12.75" hidden="false" customHeight="true" outlineLevel="0" collapsed="false">
      <c r="A70" s="1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ustomFormat="false" ht="12.75" hidden="false" customHeight="true" outlineLevel="0" collapsed="false">
      <c r="A71" s="1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ustomFormat="false" ht="12.75" hidden="false" customHeight="true" outlineLevel="0" collapsed="false">
      <c r="A72" s="1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ustomFormat="false" ht="12.75" hidden="false" customHeight="true" outlineLevel="0" collapsed="false">
      <c r="A73" s="1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ustomFormat="false" ht="12.75" hidden="false" customHeight="true" outlineLevel="0" collapsed="false">
      <c r="A74" s="1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ustomFormat="false" ht="12.75" hidden="false" customHeight="true" outlineLevel="0" collapsed="false">
      <c r="A75" s="1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ustomFormat="false" ht="12.75" hidden="false" customHeight="true" outlineLevel="0" collapsed="false">
      <c r="A76" s="1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ustomFormat="false" ht="12.75" hidden="false" customHeight="true" outlineLevel="0" collapsed="false">
      <c r="A77" s="1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ustomFormat="false" ht="12.75" hidden="false" customHeight="true" outlineLevel="0" collapsed="false">
      <c r="A78" s="1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ustomFormat="false" ht="12.75" hidden="false" customHeight="true" outlineLevel="0" collapsed="false">
      <c r="A79" s="1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ustomFormat="false" ht="12.75" hidden="false" customHeight="true" outlineLevel="0" collapsed="false">
      <c r="A80" s="1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ustomFormat="false" ht="12.75" hidden="false" customHeight="true" outlineLevel="0" collapsed="false">
      <c r="A81" s="1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ustomFormat="false" ht="12.75" hidden="false" customHeight="true" outlineLevel="0" collapsed="false">
      <c r="A82" s="1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ustomFormat="false" ht="12.75" hidden="false" customHeight="true" outlineLevel="0" collapsed="false">
      <c r="A83" s="1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ustomFormat="false" ht="12.75" hidden="false" customHeight="true" outlineLevel="0" collapsed="false">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ustomFormat="false" ht="12.75" hidden="false" customHeight="true" outlineLevel="0" collapsed="false">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ustomFormat="false" ht="12.75" hidden="false" customHeight="true" outlineLevel="0" collapsed="false">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ustomFormat="false" ht="12.75" hidden="false" customHeight="true" outlineLevel="0" collapsed="false">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ustomFormat="false" ht="12.75" hidden="false" customHeight="true" outlineLevel="0" collapsed="false">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ustomFormat="false" ht="12.75" hidden="false" customHeight="true" outlineLevel="0" collapsed="false">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ustomFormat="false" ht="12.75" hidden="false" customHeight="true" outlineLevel="0" collapsed="false">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ustomFormat="false" ht="12.75" hidden="false" customHeight="true" outlineLevel="0" collapsed="false">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ustomFormat="false" ht="12.75" hidden="false" customHeight="true" outlineLevel="0" collapsed="false">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ustomFormat="false" ht="12.75" hidden="false" customHeight="true" outlineLevel="0" collapsed="false">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ustomFormat="false" ht="12.75" hidden="false" customHeight="true" outlineLevel="0" collapsed="false">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ustomFormat="false" ht="12.75" hidden="false" customHeight="true" outlineLevel="0" collapsed="false">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ustomFormat="false" ht="12.75" hidden="false" customHeight="true" outlineLevel="0" collapsed="false">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ustomFormat="false" ht="12.75" hidden="false" customHeight="true" outlineLevel="0" collapsed="false">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ustomFormat="false" ht="12.75" hidden="false" customHeight="true" outlineLevel="0" collapsed="false">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ustomFormat="false" ht="12.75" hidden="false" customHeight="true" outlineLevel="0" collapsed="false">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ustomFormat="false" ht="12.75" hidden="false" customHeight="true" outlineLevel="0" collapsed="false">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12.75" hidden="false" customHeight="true" outlineLevel="0" collapsed="false">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12.75" hidden="false" customHeight="true" outlineLevel="0" collapsed="false">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12.75" hidden="false" customHeight="true" outlineLevel="0" collapsed="false">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12.75" hidden="false" customHeight="true" outlineLevel="0" collapsed="false">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12.75" hidden="false" customHeight="true" outlineLevel="0" collapsed="false">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12.75" hidden="false" customHeight="true" outlineLevel="0" collapsed="false">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12.75" hidden="false" customHeight="true" outlineLevel="0" collapsed="false">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12.75" hidden="false" customHeight="true" outlineLevel="0" collapsed="false">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12.75" hidden="false" customHeight="true" outlineLevel="0" collapsed="false">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12.75" hidden="false" customHeight="true" outlineLevel="0" collapsed="false">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12.75" hidden="false" customHeight="true" outlineLevel="0" collapsed="false">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12.75" hidden="false" customHeight="true" outlineLevel="0" collapsed="false">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12.75" hidden="false" customHeight="true" outlineLevel="0" collapsed="false">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12.75" hidden="false" customHeight="true" outlineLevel="0" collapsed="false">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12.75" hidden="false" customHeight="true" outlineLevel="0" collapsed="false">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12.75" hidden="false" customHeight="true" outlineLevel="0" collapsed="false">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12.75" hidden="false" customHeight="true" outlineLevel="0" collapsed="false">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12.75" hidden="false" customHeight="true" outlineLevel="0" collapsed="false">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12.75" hidden="false" customHeight="true" outlineLevel="0" collapsed="false">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12.75" hidden="false" customHeight="true" outlineLevel="0" collapsed="false">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12.75" hidden="false" customHeight="true" outlineLevel="0" collapsed="false">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12.75" hidden="false" customHeight="true" outlineLevel="0" collapsed="false">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12.75" hidden="false" customHeight="true" outlineLevel="0" collapsed="false">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12.75" hidden="false" customHeight="true" outlineLevel="0" collapsed="false">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12.75" hidden="false" customHeight="true" outlineLevel="0" collapsed="false">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12.75" hidden="false" customHeight="true" outlineLevel="0" collapsed="false">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12.75" hidden="false" customHeight="true" outlineLevel="0" collapsed="false">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12.75" hidden="false" customHeight="true" outlineLevel="0" collapsed="false">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12.75" hidden="false" customHeight="true" outlineLevel="0" collapsed="false">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12.75" hidden="false" customHeight="true" outlineLevel="0" collapsed="false">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12.75" hidden="false" customHeight="true" outlineLevel="0" collapsed="false">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12.75" hidden="false" customHeight="true" outlineLevel="0" collapsed="false">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12.75" hidden="false" customHeight="true" outlineLevel="0" collapsed="false">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12.75" hidden="false" customHeight="true" outlineLevel="0" collapsed="false">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12.75" hidden="false" customHeight="true" outlineLevel="0" collapsed="false">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12.75" hidden="false" customHeight="true" outlineLevel="0" collapsed="false">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12.75" hidden="false" customHeight="true" outlineLevel="0" collapsed="false">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12.75" hidden="false" customHeight="true" outlineLevel="0" collapsed="false">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12.75" hidden="false" customHeight="true" outlineLevel="0" collapsed="false">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12.75" hidden="false" customHeight="true" outlineLevel="0" collapsed="false">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12.75" hidden="false" customHeight="true" outlineLevel="0" collapsed="false">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12.75" hidden="false" customHeight="true" outlineLevel="0" collapsed="false">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12.75" hidden="false" customHeight="true" outlineLevel="0" collapsed="false">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12.75" hidden="false" customHeight="true" outlineLevel="0" collapsed="false">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12.75" hidden="false" customHeight="true" outlineLevel="0" collapsed="false">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12.75" hidden="false" customHeight="true" outlineLevel="0" collapsed="false">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12.75" hidden="false" customHeight="true" outlineLevel="0" collapsed="false">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12.75" hidden="false" customHeight="true" outlineLevel="0" collapsed="false">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12.75" hidden="false" customHeight="true" outlineLevel="0" collapsed="false">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12.75" hidden="false" customHeight="true" outlineLevel="0" collapsed="false">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12.75" hidden="false" customHeight="true" outlineLevel="0" collapsed="false">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12.75" hidden="false" customHeight="true" outlineLevel="0" collapsed="false">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12.75" hidden="false" customHeight="true" outlineLevel="0" collapsed="false">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12.75" hidden="false" customHeight="true" outlineLevel="0" collapsed="false">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12.75" hidden="false" customHeight="true" outlineLevel="0" collapsed="false">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12.75" hidden="false" customHeight="true" outlineLevel="0" collapsed="false">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12.75" hidden="false" customHeight="true" outlineLevel="0" collapsed="false">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12.75" hidden="false" customHeight="true" outlineLevel="0" collapsed="false">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12.75" hidden="false" customHeight="true" outlineLevel="0" collapsed="false">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12.75" hidden="false" customHeight="true" outlineLevel="0" collapsed="false">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12.75" hidden="false" customHeight="true" outlineLevel="0" collapsed="false">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12.75" hidden="false" customHeight="true" outlineLevel="0" collapsed="false">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12.75" hidden="false" customHeight="true" outlineLevel="0" collapsed="false">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12.75" hidden="false" customHeight="true" outlineLevel="0" collapsed="false">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12.75" hidden="false" customHeight="true" outlineLevel="0" collapsed="false">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12.75" hidden="false" customHeight="true" outlineLevel="0" collapsed="false">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12.75" hidden="false" customHeight="true" outlineLevel="0" collapsed="false">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12.75" hidden="false" customHeight="true" outlineLevel="0" collapsed="false">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12.75" hidden="false" customHeight="true" outlineLevel="0" collapsed="false">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12.75" hidden="false" customHeight="true" outlineLevel="0" collapsed="false">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12.75" hidden="false" customHeight="true" outlineLevel="0" collapsed="false">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12.75" hidden="false" customHeight="true" outlineLevel="0" collapsed="false">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12.75" hidden="false" customHeight="true" outlineLevel="0" collapsed="false">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12.75" hidden="false" customHeight="true" outlineLevel="0" collapsed="false">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12.75" hidden="false" customHeight="true" outlineLevel="0" collapsed="false">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12.75" hidden="false" customHeight="true" outlineLevel="0" collapsed="false">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12.75" hidden="false" customHeight="true" outlineLevel="0" collapsed="false">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12.75" hidden="false" customHeight="true" outlineLevel="0" collapsed="false">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12.75" hidden="false" customHeight="true" outlineLevel="0" collapsed="false">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12.75" hidden="false" customHeight="true" outlineLevel="0" collapsed="false">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12.75" hidden="false" customHeight="true" outlineLevel="0" collapsed="false">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12.75" hidden="false" customHeight="true" outlineLevel="0" collapsed="false">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12.75" hidden="false" customHeight="true" outlineLevel="0" collapsed="false">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12.75" hidden="false" customHeight="true" outlineLevel="0" collapsed="false">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12.75" hidden="false" customHeight="true" outlineLevel="0" collapsed="false">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12.75" hidden="false" customHeight="true" outlineLevel="0" collapsed="false">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12.75" hidden="false" customHeight="true" outlineLevel="0" collapsed="false">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12.75" hidden="false" customHeight="true" outlineLevel="0" collapsed="false">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12.75" hidden="false" customHeight="true" outlineLevel="0" collapsed="false">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12.75" hidden="false" customHeight="true" outlineLevel="0" collapsed="false">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12.75" hidden="false" customHeight="true" outlineLevel="0" collapsed="false">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12.75" hidden="false" customHeight="true" outlineLevel="0" collapsed="false">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12.75" hidden="false" customHeight="true" outlineLevel="0" collapsed="false">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12.75" hidden="false" customHeight="true" outlineLevel="0" collapsed="false">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12.75" hidden="false" customHeight="true" outlineLevel="0" collapsed="false">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12.75" hidden="false" customHeight="true" outlineLevel="0" collapsed="false">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12.75" hidden="false" customHeight="true" outlineLevel="0" collapsed="false">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12.75" hidden="false" customHeight="true" outlineLevel="0" collapsed="false">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12.75" hidden="false" customHeight="true" outlineLevel="0" collapsed="false">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12.75" hidden="false" customHeight="true" outlineLevel="0" collapsed="false">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12.75" hidden="false" customHeight="true" outlineLevel="0" collapsed="false">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12.75" hidden="false" customHeight="true" outlineLevel="0" collapsed="false">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12.75" hidden="false" customHeight="true" outlineLevel="0" collapsed="false">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12.75" hidden="false" customHeight="true" outlineLevel="0" collapsed="false">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12.75" hidden="false" customHeight="true" outlineLevel="0" collapsed="false">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12.75" hidden="false" customHeight="true" outlineLevel="0" collapsed="false">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12.75" hidden="false" customHeight="true" outlineLevel="0" collapsed="false">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12.75" hidden="false" customHeight="true" outlineLevel="0" collapsed="false">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12.75" hidden="false" customHeight="true" outlineLevel="0" collapsed="false">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12.75" hidden="false" customHeight="true" outlineLevel="0" collapsed="false">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12.75" hidden="false" customHeight="true" outlineLevel="0" collapsed="false">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12.75" hidden="false" customHeight="true" outlineLevel="0" collapsed="false">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12.75" hidden="false" customHeight="true" outlineLevel="0" collapsed="false">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12.75" hidden="false" customHeight="true" outlineLevel="0" collapsed="false">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12.75" hidden="false" customHeight="true" outlineLevel="0" collapsed="false">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12.75" hidden="false" customHeight="true" outlineLevel="0" collapsed="false">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12.75" hidden="false" customHeight="true" outlineLevel="0" collapsed="false">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12.75" hidden="false" customHeight="true" outlineLevel="0" collapsed="false">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12.75" hidden="false" customHeight="true" outlineLevel="0" collapsed="false">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12.75" hidden="false" customHeight="true" outlineLevel="0" collapsed="false">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12.75" hidden="false" customHeight="true" outlineLevel="0" collapsed="false">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12.75" hidden="false" customHeight="true" outlineLevel="0" collapsed="false">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12.75" hidden="false" customHeight="true" outlineLevel="0" collapsed="false">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12.75" hidden="false" customHeight="true" outlineLevel="0" collapsed="false">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12.75" hidden="false" customHeight="true" outlineLevel="0" collapsed="false">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12.75" hidden="false" customHeight="true" outlineLevel="0" collapsed="false">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12.75" hidden="false" customHeight="true" outlineLevel="0" collapsed="false">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12.75" hidden="false" customHeight="true" outlineLevel="0" collapsed="false">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12.75" hidden="false" customHeight="true" outlineLevel="0" collapsed="false">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12.75" hidden="false" customHeight="true" outlineLevel="0" collapsed="false">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12.75" hidden="false" customHeight="true" outlineLevel="0" collapsed="false">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12.75" hidden="false" customHeight="true" outlineLevel="0" collapsed="false">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12.75" hidden="false" customHeight="true" outlineLevel="0" collapsed="false">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12.75" hidden="false" customHeight="true" outlineLevel="0" collapsed="false">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12.75" hidden="false" customHeight="true" outlineLevel="0" collapsed="false">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12.75" hidden="false" customHeight="true" outlineLevel="0" collapsed="false">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12.75" hidden="false" customHeight="true" outlineLevel="0" collapsed="false">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12.75" hidden="false" customHeight="true" outlineLevel="0" collapsed="false">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12.75" hidden="false" customHeight="true" outlineLevel="0" collapsed="false">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12.75" hidden="false" customHeight="true" outlineLevel="0" collapsed="false">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12.75" hidden="false" customHeight="true" outlineLevel="0" collapsed="false">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12.75" hidden="false" customHeight="true" outlineLevel="0" collapsed="false">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12.75" hidden="false" customHeight="true" outlineLevel="0" collapsed="false">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12.75" hidden="false" customHeight="true" outlineLevel="0" collapsed="false">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12.75" hidden="false" customHeight="true" outlineLevel="0" collapsed="false">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12.75" hidden="false" customHeight="true" outlineLevel="0" collapsed="false">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12.75" hidden="false" customHeight="true" outlineLevel="0" collapsed="false">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12.75" hidden="false" customHeight="true" outlineLevel="0" collapsed="false">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12.75" hidden="false" customHeight="true" outlineLevel="0" collapsed="false">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12.75" hidden="false" customHeight="true" outlineLevel="0" collapsed="false">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12.75" hidden="false" customHeight="true" outlineLevel="0" collapsed="false">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12.75" hidden="false" customHeight="true" outlineLevel="0" collapsed="false">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12.75" hidden="false" customHeight="true" outlineLevel="0" collapsed="false">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12.75" hidden="false" customHeight="true" outlineLevel="0" collapsed="false">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12.75" hidden="false" customHeight="true" outlineLevel="0" collapsed="false">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12.75" hidden="false" customHeight="true" outlineLevel="0" collapsed="false">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12.75" hidden="false" customHeight="true" outlineLevel="0" collapsed="false">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12.75" hidden="false" customHeight="true" outlineLevel="0" collapsed="false">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12.75" hidden="false" customHeight="true" outlineLevel="0" collapsed="false">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12.75" hidden="false" customHeight="true" outlineLevel="0" collapsed="false">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12.75" hidden="false" customHeight="true" outlineLevel="0" collapsed="false">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12.75" hidden="false" customHeight="true" outlineLevel="0" collapsed="false">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12.75" hidden="false" customHeight="true" outlineLevel="0" collapsed="false">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12.75" hidden="false" customHeight="true" outlineLevel="0" collapsed="false">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12.75" hidden="false" customHeight="true" outlineLevel="0" collapsed="false">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12.75" hidden="false" customHeight="true" outlineLevel="0" collapsed="false">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12.75" hidden="false" customHeight="true" outlineLevel="0" collapsed="false">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12.75" hidden="false" customHeight="true" outlineLevel="0" collapsed="false">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12.75" hidden="false" customHeight="true" outlineLevel="0" collapsed="false">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12.75" hidden="false" customHeight="true" outlineLevel="0" collapsed="false">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12.75" hidden="false" customHeight="true" outlineLevel="0" collapsed="false">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12.75" hidden="false" customHeight="true" outlineLevel="0" collapsed="false">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12.75" hidden="false" customHeight="true" outlineLevel="0" collapsed="false">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12.75" hidden="false" customHeight="true" outlineLevel="0" collapsed="false">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12.75" hidden="false" customHeight="true" outlineLevel="0" collapsed="false">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12.75" hidden="false" customHeight="true" outlineLevel="0" collapsed="false">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12.75" hidden="false" customHeight="true" outlineLevel="0" collapsed="false">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12.75" hidden="false" customHeight="true" outlineLevel="0" collapsed="false">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12.75" hidden="false" customHeight="true" outlineLevel="0" collapsed="false">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12.75" hidden="false" customHeight="true" outlineLevel="0" collapsed="false">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12.75" hidden="false" customHeight="true" outlineLevel="0" collapsed="false">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12.75" hidden="false" customHeight="true" outlineLevel="0" collapsed="false">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12.75" hidden="false" customHeight="true" outlineLevel="0" collapsed="false">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12.75" hidden="false" customHeight="true" outlineLevel="0" collapsed="false">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12.75" hidden="false" customHeight="true" outlineLevel="0" collapsed="false">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12.75" hidden="false" customHeight="true" outlineLevel="0" collapsed="false">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12.75" hidden="false" customHeight="true" outlineLevel="0" collapsed="false">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12.75" hidden="false" customHeight="true" outlineLevel="0" collapsed="false">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12.75" hidden="false" customHeight="true" outlineLevel="0" collapsed="false">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12.75" hidden="false" customHeight="true" outlineLevel="0" collapsed="false">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12.75" hidden="false" customHeight="true" outlineLevel="0" collapsed="false">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12.75" hidden="false" customHeight="true" outlineLevel="0" collapsed="false">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12.75" hidden="false" customHeight="true" outlineLevel="0" collapsed="false">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12.75" hidden="false" customHeight="true" outlineLevel="0" collapsed="false">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12.75" hidden="false" customHeight="true" outlineLevel="0" collapsed="false">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12.75" hidden="false" customHeight="true" outlineLevel="0" collapsed="false">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12.75" hidden="false" customHeight="true" outlineLevel="0" collapsed="false">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12.75" hidden="false" customHeight="true" outlineLevel="0" collapsed="false">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12.75" hidden="false" customHeight="true" outlineLevel="0" collapsed="false">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12.75" hidden="false" customHeight="true" outlineLevel="0" collapsed="false">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12.75" hidden="false" customHeight="true" outlineLevel="0" collapsed="false">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12.75" hidden="false" customHeight="true" outlineLevel="0" collapsed="false">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12.75" hidden="false" customHeight="true" outlineLevel="0" collapsed="false">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12.75" hidden="false" customHeight="true" outlineLevel="0" collapsed="false">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12.75" hidden="false" customHeight="true" outlineLevel="0" collapsed="false">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12.75" hidden="false" customHeight="true" outlineLevel="0" collapsed="false">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12.75" hidden="false" customHeight="true" outlineLevel="0" collapsed="false">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12.75" hidden="false" customHeight="true" outlineLevel="0" collapsed="false">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12.75" hidden="false" customHeight="true" outlineLevel="0" collapsed="false">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12.75" hidden="false" customHeight="true" outlineLevel="0" collapsed="false">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12.75" hidden="false" customHeight="true" outlineLevel="0" collapsed="false">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12.75" hidden="false" customHeight="true" outlineLevel="0" collapsed="false">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12.75" hidden="false" customHeight="true" outlineLevel="0" collapsed="false">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12.75" hidden="false" customHeight="true" outlineLevel="0" collapsed="false">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12.75" hidden="false" customHeight="true" outlineLevel="0" collapsed="false">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12.75" hidden="false" customHeight="true" outlineLevel="0" collapsed="false">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12.75" hidden="false" customHeight="true" outlineLevel="0" collapsed="false">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12.75" hidden="false" customHeight="true" outlineLevel="0" collapsed="false">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12.75" hidden="false" customHeight="true" outlineLevel="0" collapsed="false">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12.75" hidden="false" customHeight="true" outlineLevel="0" collapsed="false">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12.75" hidden="false" customHeight="true" outlineLevel="0" collapsed="false">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12.75" hidden="false" customHeight="true" outlineLevel="0" collapsed="false">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12.75" hidden="false" customHeight="true" outlineLevel="0" collapsed="false">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12.75" hidden="false" customHeight="true" outlineLevel="0" collapsed="false">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12.75" hidden="false" customHeight="true" outlineLevel="0" collapsed="false">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12.75" hidden="false" customHeight="true" outlineLevel="0" collapsed="false">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12.75" hidden="false" customHeight="true" outlineLevel="0" collapsed="false">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12.75" hidden="false" customHeight="true" outlineLevel="0" collapsed="false">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12.75" hidden="false" customHeight="true" outlineLevel="0" collapsed="false">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12.75" hidden="false" customHeight="true" outlineLevel="0" collapsed="false">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12.75" hidden="false" customHeight="true" outlineLevel="0" collapsed="false">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12.75" hidden="false" customHeight="true" outlineLevel="0" collapsed="false">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12.75" hidden="false" customHeight="true" outlineLevel="0" collapsed="false">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12.75" hidden="false" customHeight="true" outlineLevel="0" collapsed="false">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12.75" hidden="false" customHeight="true" outlineLevel="0" collapsed="false">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12.75" hidden="false" customHeight="true" outlineLevel="0" collapsed="false">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12.75" hidden="false" customHeight="true" outlineLevel="0" collapsed="false">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12.75" hidden="false" customHeight="true" outlineLevel="0" collapsed="false">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12.75" hidden="false" customHeight="true" outlineLevel="0" collapsed="false">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12.75" hidden="false" customHeight="true" outlineLevel="0" collapsed="false">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12.75" hidden="false" customHeight="true" outlineLevel="0" collapsed="false">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12.75" hidden="false" customHeight="true" outlineLevel="0" collapsed="false">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12.75" hidden="false" customHeight="true" outlineLevel="0" collapsed="false">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12.75" hidden="false" customHeight="true" outlineLevel="0" collapsed="false">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12.75" hidden="false" customHeight="true" outlineLevel="0" collapsed="false">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12.75" hidden="false" customHeight="true" outlineLevel="0" collapsed="false">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12.75" hidden="false" customHeight="true" outlineLevel="0" collapsed="false">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12.75" hidden="false" customHeight="true" outlineLevel="0" collapsed="false">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12.75" hidden="false" customHeight="true" outlineLevel="0" collapsed="false">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12.75" hidden="false" customHeight="true" outlineLevel="0" collapsed="false">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12.75" hidden="false" customHeight="true" outlineLevel="0" collapsed="false">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12.75" hidden="false" customHeight="true" outlineLevel="0" collapsed="false">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12.75" hidden="false" customHeight="true" outlineLevel="0" collapsed="false">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12.75" hidden="false" customHeight="true" outlineLevel="0" collapsed="false">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12.75" hidden="false" customHeight="true" outlineLevel="0" collapsed="false">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12.75" hidden="false" customHeight="true" outlineLevel="0" collapsed="false">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12.75" hidden="false" customHeight="true" outlineLevel="0" collapsed="false">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12.75" hidden="false" customHeight="true" outlineLevel="0" collapsed="false">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12.75" hidden="false" customHeight="true" outlineLevel="0" collapsed="false">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12.75" hidden="false" customHeight="true" outlineLevel="0" collapsed="false">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12.75" hidden="false" customHeight="true" outlineLevel="0" collapsed="false">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12.75" hidden="false" customHeight="true" outlineLevel="0" collapsed="false">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12.75" hidden="false" customHeight="true" outlineLevel="0" collapsed="false">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12.75" hidden="false" customHeight="true" outlineLevel="0" collapsed="false">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12.75" hidden="false" customHeight="true" outlineLevel="0" collapsed="false">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12.75" hidden="false" customHeight="true" outlineLevel="0" collapsed="false">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12.75" hidden="false" customHeight="true" outlineLevel="0" collapsed="false">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12.75" hidden="false" customHeight="true" outlineLevel="0" collapsed="false">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12.75" hidden="false" customHeight="true" outlineLevel="0" collapsed="false">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12.75" hidden="false" customHeight="true" outlineLevel="0" collapsed="false">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12.75" hidden="false" customHeight="true" outlineLevel="0" collapsed="false">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12.75" hidden="false" customHeight="true" outlineLevel="0" collapsed="false">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12.75" hidden="false" customHeight="true" outlineLevel="0" collapsed="false">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12.75" hidden="false" customHeight="true" outlineLevel="0" collapsed="false">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12.75" hidden="false" customHeight="true" outlineLevel="0" collapsed="false">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12.75" hidden="false" customHeight="true" outlineLevel="0" collapsed="false">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12.75" hidden="false" customHeight="true" outlineLevel="0" collapsed="false">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12.75" hidden="false" customHeight="true" outlineLevel="0" collapsed="false">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12.75" hidden="false" customHeight="true" outlineLevel="0" collapsed="false">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12.75" hidden="false" customHeight="true" outlineLevel="0" collapsed="false">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12.75" hidden="false" customHeight="true" outlineLevel="0" collapsed="false">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12.75" hidden="false" customHeight="true" outlineLevel="0" collapsed="false">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12.75" hidden="false" customHeight="true" outlineLevel="0" collapsed="false">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12.75" hidden="false" customHeight="true" outlineLevel="0" collapsed="false">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12.75" hidden="false" customHeight="true" outlineLevel="0" collapsed="false">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12.75" hidden="false" customHeight="true" outlineLevel="0" collapsed="false">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12.75" hidden="false" customHeight="true" outlineLevel="0" collapsed="false">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12.75" hidden="false" customHeight="true" outlineLevel="0" collapsed="false">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12.75" hidden="false" customHeight="true" outlineLevel="0" collapsed="false">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12.75" hidden="false" customHeight="true" outlineLevel="0" collapsed="false">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12.75" hidden="false" customHeight="true" outlineLevel="0" collapsed="false">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12.75" hidden="false" customHeight="true" outlineLevel="0" collapsed="false">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12.75" hidden="false" customHeight="true" outlineLevel="0" collapsed="false">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12.75" hidden="false" customHeight="true" outlineLevel="0" collapsed="false">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12.75" hidden="false" customHeight="true" outlineLevel="0" collapsed="false">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12.75" hidden="false" customHeight="true" outlineLevel="0" collapsed="false">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12.75" hidden="false" customHeight="true" outlineLevel="0" collapsed="false">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12.75" hidden="false" customHeight="true" outlineLevel="0" collapsed="false">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12.75" hidden="false" customHeight="true" outlineLevel="0" collapsed="false">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12.75" hidden="false" customHeight="true" outlineLevel="0" collapsed="false">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12.75" hidden="false" customHeight="true" outlineLevel="0" collapsed="false">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12.75" hidden="false" customHeight="true" outlineLevel="0" collapsed="false">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12.75" hidden="false" customHeight="true" outlineLevel="0" collapsed="false">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12.75" hidden="false" customHeight="true" outlineLevel="0" collapsed="false">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12.75" hidden="false" customHeight="true" outlineLevel="0" collapsed="false">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12.75" hidden="false" customHeight="true" outlineLevel="0" collapsed="false">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12.75" hidden="false" customHeight="true" outlineLevel="0" collapsed="false">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12.75" hidden="false" customHeight="true" outlineLevel="0" collapsed="false">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12.75" hidden="false" customHeight="true" outlineLevel="0" collapsed="false">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12.75" hidden="false" customHeight="true" outlineLevel="0" collapsed="false">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12.75" hidden="false" customHeight="true" outlineLevel="0" collapsed="false">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12.75" hidden="false" customHeight="true" outlineLevel="0" collapsed="false">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12.75" hidden="false" customHeight="true" outlineLevel="0" collapsed="false">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12.75" hidden="false" customHeight="true" outlineLevel="0" collapsed="false">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12.75" hidden="false" customHeight="true" outlineLevel="0" collapsed="false">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12.75" hidden="false" customHeight="true" outlineLevel="0" collapsed="false">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12.75" hidden="false" customHeight="true" outlineLevel="0" collapsed="false">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12.75" hidden="false" customHeight="true" outlineLevel="0" collapsed="false">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12.75" hidden="false" customHeight="true" outlineLevel="0" collapsed="false">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12.75" hidden="false" customHeight="true" outlineLevel="0" collapsed="false">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12.75" hidden="false" customHeight="true" outlineLevel="0" collapsed="false">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12.75" hidden="false" customHeight="true" outlineLevel="0" collapsed="false">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12.75" hidden="false" customHeight="true" outlineLevel="0" collapsed="false">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12.75" hidden="false" customHeight="true" outlineLevel="0" collapsed="false">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12.75" hidden="false" customHeight="true" outlineLevel="0" collapsed="false">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12.75" hidden="false" customHeight="true" outlineLevel="0" collapsed="false">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12.75" hidden="false" customHeight="true" outlineLevel="0" collapsed="false">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12.75" hidden="false" customHeight="true" outlineLevel="0" collapsed="false">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12.75" hidden="false" customHeight="true" outlineLevel="0" collapsed="false">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12.75" hidden="false" customHeight="true" outlineLevel="0" collapsed="false">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12.75" hidden="false" customHeight="true" outlineLevel="0" collapsed="false">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12.75" hidden="false" customHeight="true" outlineLevel="0" collapsed="false">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12.75" hidden="false" customHeight="true" outlineLevel="0" collapsed="false">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12.75" hidden="false" customHeight="true" outlineLevel="0" collapsed="false">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12.75" hidden="false" customHeight="true" outlineLevel="0" collapsed="false">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12.75" hidden="false" customHeight="true" outlineLevel="0" collapsed="false">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12.75" hidden="false" customHeight="true" outlineLevel="0" collapsed="false">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12.75" hidden="false" customHeight="true" outlineLevel="0" collapsed="false">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12.75" hidden="false" customHeight="true" outlineLevel="0" collapsed="false">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12.75" hidden="false" customHeight="true" outlineLevel="0" collapsed="false">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12.75" hidden="false" customHeight="true" outlineLevel="0" collapsed="false">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12.75" hidden="false" customHeight="true" outlineLevel="0" collapsed="false">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12.75" hidden="false" customHeight="true" outlineLevel="0" collapsed="false">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12.75" hidden="false" customHeight="true" outlineLevel="0" collapsed="false">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12.75" hidden="false" customHeight="true" outlineLevel="0" collapsed="false">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12.75" hidden="false" customHeight="true" outlineLevel="0" collapsed="false">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12.75" hidden="false" customHeight="true" outlineLevel="0" collapsed="false">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12.75" hidden="false" customHeight="true" outlineLevel="0" collapsed="false">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12.75" hidden="false" customHeight="true" outlineLevel="0" collapsed="false">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12.75" hidden="false" customHeight="true" outlineLevel="0" collapsed="false">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12.75" hidden="false" customHeight="true" outlineLevel="0" collapsed="false">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12.75" hidden="false" customHeight="true" outlineLevel="0" collapsed="false">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12.75" hidden="false" customHeight="true" outlineLevel="0" collapsed="false">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12.75" hidden="false" customHeight="true" outlineLevel="0" collapsed="false">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12.75" hidden="false" customHeight="true" outlineLevel="0" collapsed="false">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12.75" hidden="false" customHeight="true" outlineLevel="0" collapsed="false">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12.75" hidden="false" customHeight="true" outlineLevel="0" collapsed="false">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12.75" hidden="false" customHeight="true" outlineLevel="0" collapsed="false">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12.75" hidden="false" customHeight="true" outlineLevel="0" collapsed="false">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12.75" hidden="false" customHeight="true" outlineLevel="0" collapsed="false">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12.75" hidden="false" customHeight="true" outlineLevel="0" collapsed="false">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12.75" hidden="false" customHeight="true" outlineLevel="0" collapsed="false">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12.75" hidden="false" customHeight="true" outlineLevel="0" collapsed="false">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12.75" hidden="false" customHeight="true" outlineLevel="0" collapsed="false">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12.75" hidden="false" customHeight="true" outlineLevel="0" collapsed="false">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12.75" hidden="false" customHeight="true" outlineLevel="0" collapsed="false">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12.75" hidden="false" customHeight="true" outlineLevel="0" collapsed="false">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12.75" hidden="false" customHeight="true" outlineLevel="0" collapsed="false">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12.75" hidden="false" customHeight="true" outlineLevel="0" collapsed="false">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12.75" hidden="false" customHeight="true" outlineLevel="0" collapsed="false">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12.75" hidden="false" customHeight="true" outlineLevel="0" collapsed="false">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12.75" hidden="false" customHeight="true" outlineLevel="0" collapsed="false">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12.75" hidden="false" customHeight="true" outlineLevel="0" collapsed="false">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12.75" hidden="false" customHeight="true" outlineLevel="0" collapsed="false">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12.75" hidden="false" customHeight="true" outlineLevel="0" collapsed="false">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12.75" hidden="false" customHeight="true" outlineLevel="0" collapsed="false">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12.75" hidden="false" customHeight="true" outlineLevel="0" collapsed="false">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12.75" hidden="false" customHeight="true" outlineLevel="0" collapsed="false">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12.75" hidden="false" customHeight="true" outlineLevel="0" collapsed="false">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12.75" hidden="false" customHeight="true" outlineLevel="0" collapsed="false">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12.75" hidden="false" customHeight="true" outlineLevel="0" collapsed="false">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12.75" hidden="false" customHeight="true" outlineLevel="0" collapsed="false">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12.75" hidden="false" customHeight="true" outlineLevel="0" collapsed="false">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12.75" hidden="false" customHeight="true" outlineLevel="0" collapsed="false">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12.75" hidden="false" customHeight="true" outlineLevel="0" collapsed="false">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12.75" hidden="false" customHeight="true" outlineLevel="0" collapsed="false">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12.75" hidden="false" customHeight="true" outlineLevel="0" collapsed="false">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12.75" hidden="false" customHeight="true" outlineLevel="0" collapsed="false">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12.75" hidden="false" customHeight="true" outlineLevel="0" collapsed="false">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12.75" hidden="false" customHeight="true" outlineLevel="0" collapsed="false">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12.75" hidden="false" customHeight="true" outlineLevel="0" collapsed="false">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12.75" hidden="false" customHeight="true" outlineLevel="0" collapsed="false">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12.75" hidden="false" customHeight="true" outlineLevel="0" collapsed="false">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12.75" hidden="false" customHeight="true" outlineLevel="0" collapsed="false">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12.75" hidden="false" customHeight="true" outlineLevel="0" collapsed="false">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12.75" hidden="false" customHeight="true" outlineLevel="0" collapsed="false">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12.75" hidden="false" customHeight="true" outlineLevel="0" collapsed="false">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12.75" hidden="false" customHeight="true" outlineLevel="0" collapsed="false">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12.75" hidden="false" customHeight="true" outlineLevel="0" collapsed="false">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12.75" hidden="false" customHeight="true" outlineLevel="0" collapsed="false">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12.75" hidden="false" customHeight="true" outlineLevel="0" collapsed="false">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12.75" hidden="false" customHeight="true" outlineLevel="0" collapsed="false">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12.75" hidden="false" customHeight="true" outlineLevel="0" collapsed="false">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12.75" hidden="false" customHeight="true" outlineLevel="0" collapsed="false">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12.75" hidden="false" customHeight="true" outlineLevel="0" collapsed="false">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12.75" hidden="false" customHeight="true" outlineLevel="0" collapsed="false">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12.75" hidden="false" customHeight="true" outlineLevel="0" collapsed="false">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12.75" hidden="false" customHeight="true" outlineLevel="0" collapsed="false">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12.75" hidden="false" customHeight="true" outlineLevel="0" collapsed="false">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12.75" hidden="false" customHeight="true" outlineLevel="0" collapsed="false">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12.75" hidden="false" customHeight="true" outlineLevel="0" collapsed="false">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12.75" hidden="false" customHeight="true" outlineLevel="0" collapsed="false">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12.75" hidden="false" customHeight="true" outlineLevel="0" collapsed="false">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12.75" hidden="false" customHeight="true" outlineLevel="0" collapsed="false">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12.75" hidden="false" customHeight="true" outlineLevel="0" collapsed="false">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12.75" hidden="false" customHeight="true" outlineLevel="0" collapsed="false">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12.75" hidden="false" customHeight="true" outlineLevel="0" collapsed="false">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12.75" hidden="false" customHeight="true" outlineLevel="0" collapsed="false">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12.75" hidden="false" customHeight="true" outlineLevel="0" collapsed="false">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12.75" hidden="false" customHeight="true" outlineLevel="0" collapsed="false">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12.75" hidden="false" customHeight="true" outlineLevel="0" collapsed="false">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12.75" hidden="false" customHeight="true" outlineLevel="0" collapsed="false">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12.75" hidden="false" customHeight="true" outlineLevel="0" collapsed="false">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12.75" hidden="false" customHeight="true" outlineLevel="0" collapsed="false">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12.75" hidden="false" customHeight="true" outlineLevel="0" collapsed="false">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12.75" hidden="false" customHeight="true" outlineLevel="0" collapsed="false">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12.75" hidden="false" customHeight="true" outlineLevel="0" collapsed="false">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12.75" hidden="false" customHeight="true" outlineLevel="0" collapsed="false">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12.75" hidden="false" customHeight="true" outlineLevel="0" collapsed="false">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12.75" hidden="false" customHeight="true" outlineLevel="0" collapsed="false">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12.75" hidden="false" customHeight="true" outlineLevel="0" collapsed="false">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12.75" hidden="false" customHeight="true" outlineLevel="0" collapsed="false">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12.75" hidden="false" customHeight="true" outlineLevel="0" collapsed="false">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12.75" hidden="false" customHeight="true" outlineLevel="0" collapsed="false">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12.75" hidden="false" customHeight="true" outlineLevel="0" collapsed="false">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12.75" hidden="false" customHeight="true" outlineLevel="0" collapsed="false">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12.75" hidden="false" customHeight="true" outlineLevel="0" collapsed="false">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12.75" hidden="false" customHeight="true" outlineLevel="0" collapsed="false">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12.75" hidden="false" customHeight="true" outlineLevel="0" collapsed="false">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12.75" hidden="false" customHeight="true" outlineLevel="0" collapsed="false">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12.75" hidden="false" customHeight="true" outlineLevel="0" collapsed="false">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12.75" hidden="false" customHeight="true" outlineLevel="0" collapsed="false">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12.75" hidden="false" customHeight="true" outlineLevel="0" collapsed="false">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12.75" hidden="false" customHeight="true" outlineLevel="0" collapsed="false">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12.75" hidden="false" customHeight="true" outlineLevel="0" collapsed="false">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12.75" hidden="false" customHeight="true" outlineLevel="0" collapsed="false">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12.75" hidden="false" customHeight="true" outlineLevel="0" collapsed="false">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12.75" hidden="false" customHeight="true" outlineLevel="0" collapsed="false">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12.75" hidden="false" customHeight="true" outlineLevel="0" collapsed="false">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12.75" hidden="false" customHeight="true" outlineLevel="0" collapsed="false">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12.75" hidden="false" customHeight="true" outlineLevel="0" collapsed="false">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12.75" hidden="false" customHeight="true" outlineLevel="0" collapsed="false">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12.75" hidden="false" customHeight="true" outlineLevel="0" collapsed="false">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12.75" hidden="false" customHeight="true" outlineLevel="0" collapsed="false">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12.75" hidden="false" customHeight="true" outlineLevel="0" collapsed="false">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12.75" hidden="false" customHeight="true" outlineLevel="0" collapsed="false">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12.75" hidden="false" customHeight="true" outlineLevel="0" collapsed="false">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12.75" hidden="false" customHeight="true" outlineLevel="0" collapsed="false">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12.75" hidden="false" customHeight="true" outlineLevel="0" collapsed="false">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12.75" hidden="false" customHeight="true" outlineLevel="0" collapsed="false">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12.75" hidden="false" customHeight="true" outlineLevel="0" collapsed="false">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12.75" hidden="false" customHeight="true" outlineLevel="0" collapsed="false">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12.75" hidden="false" customHeight="true" outlineLevel="0" collapsed="false">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12.75" hidden="false" customHeight="true" outlineLevel="0" collapsed="false">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12.75" hidden="false" customHeight="true" outlineLevel="0" collapsed="false">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12.75" hidden="false" customHeight="true" outlineLevel="0" collapsed="false">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12.75" hidden="false" customHeight="true" outlineLevel="0" collapsed="false">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12.75" hidden="false" customHeight="true" outlineLevel="0" collapsed="false">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12.75" hidden="false" customHeight="true" outlineLevel="0" collapsed="false">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12.75" hidden="false" customHeight="true" outlineLevel="0" collapsed="false">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12.75" hidden="false" customHeight="true" outlineLevel="0" collapsed="false">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12.75" hidden="false" customHeight="true" outlineLevel="0" collapsed="false">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12.75" hidden="false" customHeight="true" outlineLevel="0" collapsed="false">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12.75" hidden="false" customHeight="true" outlineLevel="0" collapsed="false">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12.75" hidden="false" customHeight="true" outlineLevel="0" collapsed="false">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12.75" hidden="false" customHeight="true" outlineLevel="0" collapsed="false">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12.75" hidden="false" customHeight="true" outlineLevel="0" collapsed="false">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12.75" hidden="false" customHeight="true" outlineLevel="0" collapsed="false">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12.75" hidden="false" customHeight="true" outlineLevel="0" collapsed="false">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12.75" hidden="false" customHeight="true" outlineLevel="0" collapsed="false">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12.75" hidden="false" customHeight="true" outlineLevel="0" collapsed="false">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12.75" hidden="false" customHeight="true" outlineLevel="0" collapsed="false">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12.75" hidden="false" customHeight="true" outlineLevel="0" collapsed="false">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12.75" hidden="false" customHeight="true" outlineLevel="0" collapsed="false">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12.75" hidden="false" customHeight="true" outlineLevel="0" collapsed="false">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12.75" hidden="false" customHeight="true" outlineLevel="0" collapsed="false">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12.75" hidden="false" customHeight="true" outlineLevel="0" collapsed="false">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12.75" hidden="false" customHeight="true" outlineLevel="0" collapsed="false">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12.75" hidden="false" customHeight="true" outlineLevel="0" collapsed="false">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12.75" hidden="false" customHeight="true" outlineLevel="0" collapsed="false">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12.75" hidden="false" customHeight="true" outlineLevel="0" collapsed="false">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12.75" hidden="false" customHeight="true" outlineLevel="0" collapsed="false">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12.75" hidden="false" customHeight="true" outlineLevel="0" collapsed="false">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12.75" hidden="false" customHeight="true" outlineLevel="0" collapsed="false">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12.75" hidden="false" customHeight="true" outlineLevel="0" collapsed="false">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12.75" hidden="false" customHeight="true" outlineLevel="0" collapsed="false">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12.75" hidden="false" customHeight="true" outlineLevel="0" collapsed="false">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12.75" hidden="false" customHeight="true" outlineLevel="0" collapsed="false">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12.75" hidden="false" customHeight="true" outlineLevel="0" collapsed="false">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12.75" hidden="false" customHeight="true" outlineLevel="0" collapsed="false">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12.75" hidden="false" customHeight="true" outlineLevel="0" collapsed="false">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12.75" hidden="false" customHeight="true" outlineLevel="0" collapsed="false">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12.75" hidden="false" customHeight="true" outlineLevel="0" collapsed="false">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12.75" hidden="false" customHeight="true" outlineLevel="0" collapsed="false">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12.75" hidden="false" customHeight="true" outlineLevel="0" collapsed="false">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12.75" hidden="false" customHeight="true" outlineLevel="0" collapsed="false">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12.75" hidden="false" customHeight="true" outlineLevel="0" collapsed="false">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12.75" hidden="false" customHeight="true" outlineLevel="0" collapsed="false">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12.75" hidden="false" customHeight="true" outlineLevel="0" collapsed="false">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12.75" hidden="false" customHeight="true" outlineLevel="0" collapsed="false">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12.75" hidden="false" customHeight="true" outlineLevel="0" collapsed="false">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12.75" hidden="false" customHeight="true" outlineLevel="0" collapsed="false">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12.75" hidden="false" customHeight="true" outlineLevel="0" collapsed="false">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12.75" hidden="false" customHeight="true" outlineLevel="0" collapsed="false">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12.75" hidden="false" customHeight="true" outlineLevel="0" collapsed="false">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12.75" hidden="false" customHeight="true" outlineLevel="0" collapsed="false">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12.75" hidden="false" customHeight="true" outlineLevel="0" collapsed="false">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12.75" hidden="false" customHeight="true" outlineLevel="0" collapsed="false">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12.75" hidden="false" customHeight="true" outlineLevel="0" collapsed="false">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12.75" hidden="false" customHeight="true" outlineLevel="0" collapsed="false">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12.75" hidden="false" customHeight="true" outlineLevel="0" collapsed="false">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12.75" hidden="false" customHeight="true" outlineLevel="0" collapsed="false">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12.75" hidden="false" customHeight="true" outlineLevel="0" collapsed="false">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12.75" hidden="false" customHeight="true" outlineLevel="0" collapsed="false">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12.75" hidden="false" customHeight="true" outlineLevel="0" collapsed="false">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12.75" hidden="false" customHeight="true" outlineLevel="0" collapsed="false">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12.75" hidden="false" customHeight="true" outlineLevel="0" collapsed="false">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12.75" hidden="false" customHeight="true" outlineLevel="0" collapsed="false">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12.75" hidden="false" customHeight="true" outlineLevel="0" collapsed="false">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12.75" hidden="false" customHeight="true" outlineLevel="0" collapsed="false">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12.75" hidden="false" customHeight="true" outlineLevel="0" collapsed="false">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12.75" hidden="false" customHeight="true" outlineLevel="0" collapsed="false">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12.75" hidden="false" customHeight="true" outlineLevel="0" collapsed="false">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12.75" hidden="false" customHeight="true" outlineLevel="0" collapsed="false">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12.75" hidden="false" customHeight="true" outlineLevel="0" collapsed="false">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12.75" hidden="false" customHeight="true" outlineLevel="0" collapsed="false">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12.75" hidden="false" customHeight="true" outlineLevel="0" collapsed="false">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12.75" hidden="false" customHeight="true" outlineLevel="0" collapsed="false">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12.75" hidden="false" customHeight="true" outlineLevel="0" collapsed="false">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12.75" hidden="false" customHeight="true" outlineLevel="0" collapsed="false">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12.75" hidden="false" customHeight="true" outlineLevel="0" collapsed="false">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12.75" hidden="false" customHeight="true" outlineLevel="0" collapsed="false">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12.75" hidden="false" customHeight="true" outlineLevel="0" collapsed="false">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12.75" hidden="false" customHeight="true" outlineLevel="0" collapsed="false">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12.75" hidden="false" customHeight="true" outlineLevel="0" collapsed="false">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12.75" hidden="false" customHeight="true" outlineLevel="0" collapsed="false">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12.75" hidden="false" customHeight="true" outlineLevel="0" collapsed="false">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12.75" hidden="false" customHeight="true" outlineLevel="0" collapsed="false">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12.75" hidden="false" customHeight="true" outlineLevel="0" collapsed="false">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12.75" hidden="false" customHeight="true" outlineLevel="0" collapsed="false">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12.75" hidden="false" customHeight="true" outlineLevel="0" collapsed="false">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12.75" hidden="false" customHeight="true" outlineLevel="0" collapsed="false">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12.75" hidden="false" customHeight="true" outlineLevel="0" collapsed="false">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12.75" hidden="false" customHeight="true" outlineLevel="0" collapsed="false">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12.75" hidden="false" customHeight="true" outlineLevel="0" collapsed="false">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12.75" hidden="false" customHeight="true" outlineLevel="0" collapsed="false">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12.75" hidden="false" customHeight="true" outlineLevel="0" collapsed="false">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12.75" hidden="false" customHeight="true" outlineLevel="0" collapsed="false">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12.75" hidden="false" customHeight="true" outlineLevel="0" collapsed="false">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12.75" hidden="false" customHeight="true" outlineLevel="0" collapsed="false">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12.75" hidden="false" customHeight="true" outlineLevel="0" collapsed="false">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12.75" hidden="false" customHeight="true" outlineLevel="0" collapsed="false">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12.75" hidden="false" customHeight="true" outlineLevel="0" collapsed="false">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12.75" hidden="false" customHeight="true" outlineLevel="0" collapsed="false">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12.75" hidden="false" customHeight="true" outlineLevel="0" collapsed="false">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12.75" hidden="false" customHeight="true" outlineLevel="0" collapsed="false">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12.75" hidden="false" customHeight="true" outlineLevel="0" collapsed="false">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12.75" hidden="false" customHeight="true" outlineLevel="0" collapsed="false">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12.75" hidden="false" customHeight="true" outlineLevel="0" collapsed="false">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12.75" hidden="false" customHeight="true" outlineLevel="0" collapsed="false">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12.75" hidden="false" customHeight="true" outlineLevel="0" collapsed="false">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12.75" hidden="false" customHeight="true" outlineLevel="0" collapsed="false">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12.75" hidden="false" customHeight="true" outlineLevel="0" collapsed="false">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12.75" hidden="false" customHeight="true" outlineLevel="0" collapsed="false">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12.75" hidden="false" customHeight="true" outlineLevel="0" collapsed="false">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12.75" hidden="false" customHeight="true" outlineLevel="0" collapsed="false">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12.75" hidden="false" customHeight="true" outlineLevel="0" collapsed="false">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12.75" hidden="false" customHeight="true" outlineLevel="0" collapsed="false">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12.75" hidden="false" customHeight="true" outlineLevel="0" collapsed="false">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12.75" hidden="false" customHeight="true" outlineLevel="0" collapsed="false">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12.75" hidden="false" customHeight="true" outlineLevel="0" collapsed="false">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12.75" hidden="false" customHeight="true" outlineLevel="0" collapsed="false">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12.75" hidden="false" customHeight="true" outlineLevel="0" collapsed="false">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12.75" hidden="false" customHeight="true" outlineLevel="0" collapsed="false">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12.75" hidden="false" customHeight="true" outlineLevel="0" collapsed="false">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12.75" hidden="false" customHeight="true" outlineLevel="0" collapsed="false">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12.75" hidden="false" customHeight="true" outlineLevel="0" collapsed="false">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12.75" hidden="false" customHeight="true" outlineLevel="0" collapsed="false">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12.75" hidden="false" customHeight="true" outlineLevel="0" collapsed="false">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12.75" hidden="false" customHeight="true" outlineLevel="0" collapsed="false">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12.75" hidden="false" customHeight="true" outlineLevel="0" collapsed="false">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12.75" hidden="false" customHeight="true" outlineLevel="0" collapsed="false">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12.75" hidden="false" customHeight="true" outlineLevel="0" collapsed="false">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12.75" hidden="false" customHeight="true" outlineLevel="0" collapsed="false">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12.75" hidden="false" customHeight="true" outlineLevel="0" collapsed="false">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12.75" hidden="false" customHeight="true" outlineLevel="0" collapsed="false">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12.75" hidden="false" customHeight="true" outlineLevel="0" collapsed="false">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12.75" hidden="false" customHeight="true" outlineLevel="0" collapsed="false">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12.75" hidden="false" customHeight="true" outlineLevel="0" collapsed="false">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12.75" hidden="false" customHeight="true" outlineLevel="0" collapsed="false">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12.75" hidden="false" customHeight="true" outlineLevel="0" collapsed="false">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12.75" hidden="false" customHeight="true" outlineLevel="0" collapsed="false">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12.75" hidden="false" customHeight="true" outlineLevel="0" collapsed="false">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12.75" hidden="false" customHeight="true" outlineLevel="0" collapsed="false">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12.75" hidden="false" customHeight="true" outlineLevel="0" collapsed="false">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12.75" hidden="false" customHeight="true" outlineLevel="0" collapsed="false">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12.75" hidden="false" customHeight="true" outlineLevel="0" collapsed="false">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12.75" hidden="false" customHeight="true" outlineLevel="0" collapsed="false">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12.75" hidden="false" customHeight="true" outlineLevel="0" collapsed="false">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12.75" hidden="false" customHeight="true" outlineLevel="0" collapsed="false">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12.75" hidden="false" customHeight="true" outlineLevel="0" collapsed="false">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12.75" hidden="false" customHeight="true" outlineLevel="0" collapsed="false">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12.75" hidden="false" customHeight="true" outlineLevel="0" collapsed="false">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12.75" hidden="false" customHeight="true" outlineLevel="0" collapsed="false">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12.75" hidden="false" customHeight="true" outlineLevel="0" collapsed="false">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12.75" hidden="false" customHeight="true" outlineLevel="0" collapsed="false">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12.75" hidden="false" customHeight="true" outlineLevel="0" collapsed="false">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12.75" hidden="false" customHeight="true" outlineLevel="0" collapsed="false">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12.75" hidden="false" customHeight="true" outlineLevel="0" collapsed="false">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12.75" hidden="false" customHeight="true" outlineLevel="0" collapsed="false">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12.75" hidden="false" customHeight="true" outlineLevel="0" collapsed="false">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12.75" hidden="false" customHeight="true" outlineLevel="0" collapsed="false">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12.75" hidden="false" customHeight="true" outlineLevel="0" collapsed="false">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12.75" hidden="false" customHeight="true" outlineLevel="0" collapsed="false">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12.75" hidden="false" customHeight="true" outlineLevel="0" collapsed="false">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12.75" hidden="false" customHeight="true" outlineLevel="0" collapsed="false">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12.75" hidden="false" customHeight="true" outlineLevel="0" collapsed="false">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12.75" hidden="false" customHeight="true" outlineLevel="0" collapsed="false">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12.75" hidden="false" customHeight="true" outlineLevel="0" collapsed="false">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12.75" hidden="false" customHeight="true" outlineLevel="0" collapsed="false">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12.75" hidden="false" customHeight="true" outlineLevel="0" collapsed="false">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12.75" hidden="false" customHeight="true" outlineLevel="0" collapsed="false">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12.75" hidden="false" customHeight="true" outlineLevel="0" collapsed="false">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12.75" hidden="false" customHeight="true" outlineLevel="0" collapsed="false">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12.75" hidden="false" customHeight="true" outlineLevel="0" collapsed="false">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12.75" hidden="false" customHeight="true" outlineLevel="0" collapsed="false">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12.75" hidden="false" customHeight="true" outlineLevel="0" collapsed="false">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12.75" hidden="false" customHeight="true" outlineLevel="0" collapsed="false">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12.75" hidden="false" customHeight="true" outlineLevel="0" collapsed="false">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12.75" hidden="false" customHeight="true" outlineLevel="0" collapsed="false">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12.75" hidden="false" customHeight="true" outlineLevel="0" collapsed="false">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12.75" hidden="false" customHeight="true" outlineLevel="0" collapsed="false">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12.75" hidden="false" customHeight="true" outlineLevel="0" collapsed="false">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12.75" hidden="false" customHeight="true" outlineLevel="0" collapsed="false">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12.75" hidden="false" customHeight="true" outlineLevel="0" collapsed="false">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12.75" hidden="false" customHeight="true" outlineLevel="0" collapsed="false">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12.75" hidden="false" customHeight="true" outlineLevel="0" collapsed="false">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12.75" hidden="false" customHeight="true" outlineLevel="0" collapsed="false">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12.75" hidden="false" customHeight="true" outlineLevel="0" collapsed="false">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12.75" hidden="false" customHeight="true" outlineLevel="0" collapsed="false">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12.75" hidden="false" customHeight="true" outlineLevel="0" collapsed="false">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12.75" hidden="false" customHeight="true" outlineLevel="0" collapsed="false">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12.75" hidden="false" customHeight="true" outlineLevel="0" collapsed="false">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12.75" hidden="false" customHeight="true" outlineLevel="0" collapsed="false">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12.75" hidden="false" customHeight="true" outlineLevel="0" collapsed="false">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12.75" hidden="false" customHeight="true" outlineLevel="0" collapsed="false">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12.75" hidden="false" customHeight="true" outlineLevel="0" collapsed="false">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12.75" hidden="false" customHeight="true" outlineLevel="0" collapsed="false">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12.75" hidden="false" customHeight="true" outlineLevel="0" collapsed="false">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12.75" hidden="false" customHeight="true" outlineLevel="0" collapsed="false">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12.75" hidden="false" customHeight="true" outlineLevel="0" collapsed="false">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12.75" hidden="false" customHeight="true" outlineLevel="0" collapsed="false">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12.75" hidden="false" customHeight="true" outlineLevel="0" collapsed="false">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12.75" hidden="false" customHeight="true" outlineLevel="0" collapsed="false">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12.75" hidden="false" customHeight="true" outlineLevel="0" collapsed="false">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12.75" hidden="false" customHeight="true" outlineLevel="0" collapsed="false">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12.75" hidden="false" customHeight="true" outlineLevel="0" collapsed="false">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12.75" hidden="false" customHeight="true" outlineLevel="0" collapsed="false">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12.75" hidden="false" customHeight="true" outlineLevel="0" collapsed="false">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12.75" hidden="false" customHeight="true" outlineLevel="0" collapsed="false">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12.75" hidden="false" customHeight="true" outlineLevel="0" collapsed="false">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12.75" hidden="false" customHeight="true" outlineLevel="0" collapsed="false">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12.75" hidden="false" customHeight="true" outlineLevel="0" collapsed="false">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12.75" hidden="false" customHeight="true" outlineLevel="0" collapsed="false">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12.75" hidden="false" customHeight="true" outlineLevel="0" collapsed="false">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12.75" hidden="false" customHeight="true" outlineLevel="0" collapsed="false">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12.75" hidden="false" customHeight="true" outlineLevel="0" collapsed="false">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12.75" hidden="false" customHeight="true" outlineLevel="0" collapsed="false">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12.75" hidden="false" customHeight="true" outlineLevel="0" collapsed="false">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12.75" hidden="false" customHeight="true" outlineLevel="0" collapsed="false">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12.75" hidden="false" customHeight="true" outlineLevel="0" collapsed="false">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12.75" hidden="false" customHeight="true" outlineLevel="0" collapsed="false">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12.75" hidden="false" customHeight="true" outlineLevel="0" collapsed="false">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12.75" hidden="false" customHeight="true" outlineLevel="0" collapsed="false">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12.75" hidden="false" customHeight="true" outlineLevel="0" collapsed="false">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12.75" hidden="false" customHeight="true" outlineLevel="0" collapsed="false">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12.75" hidden="false" customHeight="true" outlineLevel="0" collapsed="false">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12.75" hidden="false" customHeight="true" outlineLevel="0" collapsed="false">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12.75" hidden="false" customHeight="true" outlineLevel="0" collapsed="false">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12.75" hidden="false" customHeight="true" outlineLevel="0" collapsed="false">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12.75" hidden="false" customHeight="true" outlineLevel="0" collapsed="false">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12.75" hidden="false" customHeight="true" outlineLevel="0" collapsed="false">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12.75" hidden="false" customHeight="true" outlineLevel="0" collapsed="false">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12.75" hidden="false" customHeight="true" outlineLevel="0" collapsed="false">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12.75" hidden="false" customHeight="true" outlineLevel="0" collapsed="false">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12.75" hidden="false" customHeight="true" outlineLevel="0" collapsed="false">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12.75" hidden="false" customHeight="true" outlineLevel="0" collapsed="false">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12.75" hidden="false" customHeight="true" outlineLevel="0" collapsed="false">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12.75" hidden="false" customHeight="true" outlineLevel="0" collapsed="false">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12.75" hidden="false" customHeight="true" outlineLevel="0" collapsed="false">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12.75" hidden="false" customHeight="true" outlineLevel="0" collapsed="false">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12.75" hidden="false" customHeight="true" outlineLevel="0" collapsed="false">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12.75" hidden="false" customHeight="true" outlineLevel="0" collapsed="false">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12.75" hidden="false" customHeight="true" outlineLevel="0" collapsed="false">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12.75" hidden="false" customHeight="true" outlineLevel="0" collapsed="false">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12.75" hidden="false" customHeight="true" outlineLevel="0" collapsed="false">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12.75" hidden="false" customHeight="true" outlineLevel="0" collapsed="false">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12.75" hidden="false" customHeight="true" outlineLevel="0" collapsed="false">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12.75" hidden="false" customHeight="true" outlineLevel="0" collapsed="false">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12.75" hidden="false" customHeight="true" outlineLevel="0" collapsed="false">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12.75" hidden="false" customHeight="true" outlineLevel="0" collapsed="false">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12.75" hidden="false" customHeight="true" outlineLevel="0" collapsed="false">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12.75" hidden="false" customHeight="true" outlineLevel="0" collapsed="false">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12.75" hidden="false" customHeight="true" outlineLevel="0" collapsed="false">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12.75" hidden="false" customHeight="true" outlineLevel="0" collapsed="false">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12.75" hidden="false" customHeight="true" outlineLevel="0" collapsed="false">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12.75" hidden="false" customHeight="true" outlineLevel="0" collapsed="false">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12.75" hidden="false" customHeight="true" outlineLevel="0" collapsed="false">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12.75" hidden="false" customHeight="true" outlineLevel="0" collapsed="false">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12.75" hidden="false" customHeight="true" outlineLevel="0" collapsed="false">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12.75" hidden="false" customHeight="true" outlineLevel="0" collapsed="false">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12.75" hidden="false" customHeight="true" outlineLevel="0" collapsed="false">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12.75" hidden="false" customHeight="true" outlineLevel="0" collapsed="false">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12.75" hidden="false" customHeight="true" outlineLevel="0" collapsed="false">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12.75" hidden="false" customHeight="true" outlineLevel="0" collapsed="false">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12.75" hidden="false" customHeight="true" outlineLevel="0" collapsed="false">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12.75" hidden="false" customHeight="true" outlineLevel="0" collapsed="false">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12.75" hidden="false" customHeight="true" outlineLevel="0" collapsed="false">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12.75" hidden="false" customHeight="true" outlineLevel="0" collapsed="false">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12.75" hidden="false" customHeight="true" outlineLevel="0" collapsed="false">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12.75" hidden="false" customHeight="true" outlineLevel="0" collapsed="false">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12.75" hidden="false" customHeight="true" outlineLevel="0" collapsed="false">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12.75" hidden="false" customHeight="true" outlineLevel="0" collapsed="false">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12.75" hidden="false" customHeight="true" outlineLevel="0" collapsed="false">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12.75" hidden="false" customHeight="true" outlineLevel="0" collapsed="false">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12.75" hidden="false" customHeight="true" outlineLevel="0" collapsed="false">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12.75" hidden="false" customHeight="true" outlineLevel="0" collapsed="false">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12.75" hidden="false" customHeight="true" outlineLevel="0" collapsed="false">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12.75" hidden="false" customHeight="true" outlineLevel="0" collapsed="false">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12.75" hidden="false" customHeight="true" outlineLevel="0" collapsed="false">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12.75" hidden="false" customHeight="true" outlineLevel="0" collapsed="false">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12.75" hidden="false" customHeight="true" outlineLevel="0" collapsed="false">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12.75" hidden="false" customHeight="true" outlineLevel="0" collapsed="false">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12.75" hidden="false" customHeight="true" outlineLevel="0" collapsed="false">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12.75" hidden="false" customHeight="true" outlineLevel="0" collapsed="false">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12.75" hidden="false" customHeight="true" outlineLevel="0" collapsed="false">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12.75" hidden="false" customHeight="true" outlineLevel="0" collapsed="false">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12.75" hidden="false" customHeight="true" outlineLevel="0" collapsed="false">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12.75" hidden="false" customHeight="true" outlineLevel="0" collapsed="false">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12.75" hidden="false" customHeight="true" outlineLevel="0" collapsed="false">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12.75" hidden="false" customHeight="true" outlineLevel="0" collapsed="false">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12.75" hidden="false" customHeight="true" outlineLevel="0" collapsed="false">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12.75" hidden="false" customHeight="true" outlineLevel="0" collapsed="false">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12.75" hidden="false" customHeight="true" outlineLevel="0" collapsed="false">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12.75" hidden="false" customHeight="true" outlineLevel="0" collapsed="false">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12.75" hidden="false" customHeight="true" outlineLevel="0" collapsed="false">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12.75" hidden="false" customHeight="true" outlineLevel="0" collapsed="false">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12.75" hidden="false" customHeight="true" outlineLevel="0" collapsed="false">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12.75" hidden="false" customHeight="true" outlineLevel="0" collapsed="false">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12.75" hidden="false" customHeight="true" outlineLevel="0" collapsed="false">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12.75" hidden="false" customHeight="true" outlineLevel="0" collapsed="false">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12.75" hidden="false" customHeight="true" outlineLevel="0" collapsed="false">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12.75" hidden="false" customHeight="true" outlineLevel="0" collapsed="false">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12.75" hidden="false" customHeight="true" outlineLevel="0" collapsed="false">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12.75" hidden="false" customHeight="true" outlineLevel="0" collapsed="false">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12.75" hidden="false" customHeight="true" outlineLevel="0" collapsed="false">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12.75" hidden="false" customHeight="true" outlineLevel="0" collapsed="false">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12.75" hidden="false" customHeight="true" outlineLevel="0" collapsed="false">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12.75" hidden="false" customHeight="true" outlineLevel="0" collapsed="false">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12.75" hidden="false" customHeight="true" outlineLevel="0" collapsed="false">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12.75" hidden="false" customHeight="true" outlineLevel="0" collapsed="false">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12.75" hidden="false" customHeight="true" outlineLevel="0" collapsed="false">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12.75" hidden="false" customHeight="true" outlineLevel="0" collapsed="false">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12.75" hidden="false" customHeight="true" outlineLevel="0" collapsed="false">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12.75" hidden="false" customHeight="true" outlineLevel="0" collapsed="false">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12.75" hidden="false" customHeight="true" outlineLevel="0" collapsed="false">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12.75" hidden="false" customHeight="true" outlineLevel="0" collapsed="false">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12.75" hidden="false" customHeight="true" outlineLevel="0" collapsed="false">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12.75" hidden="false" customHeight="true" outlineLevel="0" collapsed="false">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12.75" hidden="false" customHeight="true" outlineLevel="0" collapsed="false">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12.75" hidden="false" customHeight="true" outlineLevel="0" collapsed="false">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12.75" hidden="false" customHeight="true" outlineLevel="0" collapsed="false">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12.75" hidden="false" customHeight="true" outlineLevel="0" collapsed="false">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12.75" hidden="false" customHeight="true" outlineLevel="0" collapsed="false">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12.75" hidden="false" customHeight="true" outlineLevel="0" collapsed="false">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12.75" hidden="false" customHeight="true" outlineLevel="0" collapsed="false">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12.75" hidden="false" customHeight="true" outlineLevel="0" collapsed="false">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12.75" hidden="false" customHeight="true" outlineLevel="0" collapsed="false">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12.75" hidden="false" customHeight="true" outlineLevel="0" collapsed="false">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12.75" hidden="false" customHeight="true" outlineLevel="0" collapsed="false">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12.75" hidden="false" customHeight="true" outlineLevel="0" collapsed="false">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12.75" hidden="false" customHeight="true" outlineLevel="0" collapsed="false">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12.75" hidden="false" customHeight="true" outlineLevel="0" collapsed="false">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12.75" hidden="false" customHeight="true" outlineLevel="0" collapsed="false">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12.75" hidden="false" customHeight="true" outlineLevel="0" collapsed="false">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12.75" hidden="false" customHeight="true" outlineLevel="0" collapsed="false">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12.75" hidden="false" customHeight="true" outlineLevel="0" collapsed="false">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12.75" hidden="false" customHeight="true" outlineLevel="0" collapsed="false">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12.75" hidden="false" customHeight="true" outlineLevel="0" collapsed="false">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12.75" hidden="false" customHeight="true" outlineLevel="0" collapsed="false">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12.75" hidden="false" customHeight="true" outlineLevel="0" collapsed="false">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12.75" hidden="false" customHeight="true" outlineLevel="0" collapsed="false">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12.75" hidden="false" customHeight="true" outlineLevel="0" collapsed="false">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12.75" hidden="false" customHeight="true" outlineLevel="0" collapsed="false">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12.75" hidden="false" customHeight="true" outlineLevel="0" collapsed="false">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12.75" hidden="false" customHeight="true" outlineLevel="0" collapsed="false">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12.75" hidden="false" customHeight="true" outlineLevel="0" collapsed="false">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12.75" hidden="false" customHeight="true" outlineLevel="0" collapsed="false">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12.75" hidden="false" customHeight="true" outlineLevel="0" collapsed="false">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12.75" hidden="false" customHeight="true" outlineLevel="0" collapsed="false">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12.75" hidden="false" customHeight="true" outlineLevel="0" collapsed="false">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12.75" hidden="false" customHeight="true" outlineLevel="0" collapsed="false">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12.75" hidden="false" customHeight="true" outlineLevel="0" collapsed="false">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12.75" hidden="false" customHeight="true" outlineLevel="0" collapsed="false">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12.75" hidden="false" customHeight="true" outlineLevel="0" collapsed="false">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12.75" hidden="false" customHeight="true" outlineLevel="0" collapsed="false">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12.75" hidden="false" customHeight="true" outlineLevel="0" collapsed="false">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12.75" hidden="false" customHeight="true" outlineLevel="0" collapsed="false">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12.75" hidden="false" customHeight="true" outlineLevel="0" collapsed="false">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12.75" hidden="false" customHeight="true" outlineLevel="0" collapsed="false">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12.75" hidden="false" customHeight="true" outlineLevel="0" collapsed="false">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12.75" hidden="false" customHeight="true" outlineLevel="0" collapsed="false">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12.75" hidden="false" customHeight="true" outlineLevel="0" collapsed="false">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12.75" hidden="false" customHeight="true" outlineLevel="0" collapsed="false">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12.75" hidden="false" customHeight="true" outlineLevel="0" collapsed="false">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12.75" hidden="false" customHeight="true" outlineLevel="0" collapsed="false">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12.75" hidden="false" customHeight="true" outlineLevel="0" collapsed="false">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12.75" hidden="false" customHeight="true" outlineLevel="0" collapsed="false">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12.75" hidden="false" customHeight="true" outlineLevel="0" collapsed="false">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12.75" hidden="false" customHeight="true" outlineLevel="0" collapsed="false">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12.75" hidden="false" customHeight="true" outlineLevel="0" collapsed="false">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12.75" hidden="false" customHeight="true" outlineLevel="0" collapsed="false">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12.75" hidden="false" customHeight="true" outlineLevel="0" collapsed="false">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12.75" hidden="false" customHeight="true" outlineLevel="0" collapsed="false">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12.75" hidden="false" customHeight="true" outlineLevel="0" collapsed="false">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12.75" hidden="false" customHeight="true" outlineLevel="0" collapsed="false">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12.75" hidden="false" customHeight="true" outlineLevel="0" collapsed="false">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12.75" hidden="false" customHeight="true" outlineLevel="0" collapsed="false">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12.75" hidden="false" customHeight="true" outlineLevel="0" collapsed="false">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12.75" hidden="false" customHeight="true" outlineLevel="0" collapsed="false">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12.75" hidden="false" customHeight="true" outlineLevel="0" collapsed="false">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12.75" hidden="false" customHeight="true" outlineLevel="0" collapsed="false">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12.75" hidden="false" customHeight="true" outlineLevel="0" collapsed="false">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12.75" hidden="false" customHeight="true" outlineLevel="0" collapsed="false">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12.75" hidden="false" customHeight="true" outlineLevel="0" collapsed="false">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12.75" hidden="false" customHeight="true" outlineLevel="0" collapsed="false">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12.75" hidden="false" customHeight="true" outlineLevel="0" collapsed="false">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12.75" hidden="false" customHeight="true" outlineLevel="0" collapsed="false">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12.75" hidden="false" customHeight="true" outlineLevel="0" collapsed="false">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12.75" hidden="false" customHeight="true" outlineLevel="0" collapsed="false">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12.75" hidden="false" customHeight="true" outlineLevel="0" collapsed="false">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12.75" hidden="false" customHeight="true" outlineLevel="0" collapsed="false">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12.75" hidden="false" customHeight="true" outlineLevel="0" collapsed="false">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12.75" hidden="false" customHeight="true" outlineLevel="0" collapsed="false">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12.75" hidden="false" customHeight="true" outlineLevel="0" collapsed="false">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12.75" hidden="false" customHeight="true" outlineLevel="0" collapsed="false">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12.75" hidden="false" customHeight="true" outlineLevel="0" collapsed="false">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12.75" hidden="false" customHeight="true" outlineLevel="0" collapsed="false">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12.75" hidden="false" customHeight="true" outlineLevel="0" collapsed="false">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12.75" hidden="false" customHeight="true" outlineLevel="0" collapsed="false">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12.75" hidden="false" customHeight="true" outlineLevel="0" collapsed="false">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12.75" hidden="false" customHeight="true" outlineLevel="0" collapsed="false">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12.75" hidden="false" customHeight="true" outlineLevel="0" collapsed="false">
      <c r="A963" s="1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12.75" hidden="false" customHeight="true" outlineLevel="0" collapsed="false">
      <c r="A964" s="1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12.75" hidden="false" customHeight="true" outlineLevel="0" collapsed="false">
      <c r="A965" s="1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12.75" hidden="false" customHeight="true" outlineLevel="0" collapsed="false">
      <c r="A966" s="1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12.75" hidden="false" customHeight="true" outlineLevel="0" collapsed="false">
      <c r="A967" s="1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12.75" hidden="false" customHeight="true" outlineLevel="0" collapsed="false">
      <c r="A968" s="1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12.75" hidden="false" customHeight="true" outlineLevel="0" collapsed="false">
      <c r="A969" s="1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12.75" hidden="false" customHeight="true" outlineLevel="0" collapsed="false">
      <c r="A970" s="1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12.75" hidden="false" customHeight="true" outlineLevel="0" collapsed="false">
      <c r="A971" s="1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12.75" hidden="false" customHeight="true" outlineLevel="0" collapsed="false">
      <c r="A972" s="1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12.75" hidden="false" customHeight="true" outlineLevel="0" collapsed="false">
      <c r="A973" s="1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12.75" hidden="false" customHeight="true" outlineLevel="0" collapsed="false">
      <c r="A974" s="1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12.75" hidden="false" customHeight="true" outlineLevel="0" collapsed="false">
      <c r="A975" s="1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12.75" hidden="false" customHeight="true" outlineLevel="0" collapsed="false">
      <c r="A976" s="1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12.75" hidden="false" customHeight="true" outlineLevel="0" collapsed="false">
      <c r="A977" s="1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12.75" hidden="false" customHeight="true" outlineLevel="0" collapsed="false">
      <c r="A978" s="1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12.75" hidden="false" customHeight="true" outlineLevel="0" collapsed="false">
      <c r="A979" s="1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12.75" hidden="false" customHeight="true" outlineLevel="0" collapsed="false">
      <c r="A980" s="1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12.75" hidden="false" customHeight="true" outlineLevel="0" collapsed="false">
      <c r="A981" s="1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12.75" hidden="false" customHeight="true" outlineLevel="0" collapsed="false">
      <c r="A982" s="1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12.75" hidden="false" customHeight="true" outlineLevel="0" collapsed="false">
      <c r="A983" s="1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12.75" hidden="false" customHeight="true" outlineLevel="0" collapsed="false">
      <c r="A984" s="1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12.75" hidden="false" customHeight="true" outlineLevel="0" collapsed="false">
      <c r="A985" s="1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12.75" hidden="false" customHeight="true" outlineLevel="0" collapsed="false">
      <c r="A986" s="1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12.75" hidden="false" customHeight="true" outlineLevel="0" collapsed="false">
      <c r="A987" s="1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12.75" hidden="false" customHeight="true" outlineLevel="0" collapsed="false">
      <c r="A988" s="1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12.75" hidden="false" customHeight="true" outlineLevel="0" collapsed="false">
      <c r="A989" s="1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12.75" hidden="false" customHeight="true" outlineLevel="0" collapsed="false">
      <c r="A990" s="1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12.75" hidden="false" customHeight="true" outlineLevel="0" collapsed="false">
      <c r="A991" s="1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12.75" hidden="false" customHeight="true" outlineLevel="0" collapsed="false">
      <c r="A992" s="1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12.75" hidden="false" customHeight="true" outlineLevel="0" collapsed="false">
      <c r="A993" s="1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12.75" hidden="false" customHeight="true" outlineLevel="0" collapsed="false">
      <c r="A994" s="1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12.75" hidden="false" customHeight="true" outlineLevel="0" collapsed="false">
      <c r="A995" s="1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12.75" hidden="false" customHeight="true" outlineLevel="0" collapsed="false">
      <c r="A996" s="1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12.75" hidden="false" customHeight="true" outlineLevel="0" collapsed="false">
      <c r="A997" s="1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12.75" hidden="false" customHeight="true" outlineLevel="0" collapsed="false">
      <c r="A998" s="1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12.75" hidden="false" customHeight="true" outlineLevel="0" collapsed="false">
      <c r="A999" s="1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12.75" hidden="false" customHeight="true" outlineLevel="0" collapsed="false">
      <c r="A1000" s="1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ustomFormat="false" ht="12.75" hidden="false" customHeight="true" outlineLevel="0" collapsed="false">
      <c r="A1001" s="13"/>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sheetData>
  <mergeCells count="4">
    <mergeCell ref="B2:F2"/>
    <mergeCell ref="B4:D4"/>
    <mergeCell ref="B5:D5"/>
    <mergeCell ref="B6:D6"/>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8.13"/>
    <col collapsed="false" customWidth="true" hidden="false" outlineLevel="0" max="2" min="2" style="1" width="13.38"/>
    <col collapsed="false" customWidth="true" hidden="false" outlineLevel="0" max="3" min="3" style="1" width="10.88"/>
    <col collapsed="false" customWidth="true" hidden="false" outlineLevel="0" max="4" min="4" style="1" width="18.13"/>
    <col collapsed="false" customWidth="true" hidden="true" outlineLevel="0" max="5" min="5" style="1" width="1.88"/>
    <col collapsed="false" customWidth="true" hidden="false" outlineLevel="0" max="8" min="6" style="1" width="6.63"/>
    <col collapsed="false" customWidth="true" hidden="false" outlineLevel="0" max="9" min="9" style="1" width="5.88"/>
    <col collapsed="false" customWidth="true" hidden="false" outlineLevel="0" max="10" min="10" style="1" width="5.63"/>
    <col collapsed="false" customWidth="true" hidden="false" outlineLevel="0" max="12" min="11" style="1" width="5.88"/>
    <col collapsed="false" customWidth="true" hidden="false" outlineLevel="0" max="21" min="13" style="1" width="2.88"/>
    <col collapsed="false" customWidth="true" hidden="false" outlineLevel="0" max="23" min="22" style="1" width="9"/>
    <col collapsed="false" customWidth="true" hidden="false" outlineLevel="0" max="26" min="24" style="1" width="10"/>
  </cols>
  <sheetData>
    <row r="1" customFormat="false" ht="13.5" hidden="false" customHeight="true" outlineLevel="0" collapsed="false">
      <c r="A1" s="42"/>
      <c r="B1" s="42"/>
      <c r="C1" s="43"/>
      <c r="D1" s="43"/>
      <c r="E1" s="43"/>
      <c r="F1" s="43"/>
      <c r="G1" s="43"/>
      <c r="H1" s="43"/>
      <c r="I1" s="43"/>
      <c r="J1" s="43"/>
      <c r="K1" s="43"/>
      <c r="L1" s="43"/>
      <c r="M1" s="43"/>
      <c r="N1" s="43"/>
      <c r="O1" s="43"/>
      <c r="P1" s="43"/>
      <c r="Q1" s="43"/>
      <c r="R1" s="43"/>
      <c r="S1" s="43"/>
      <c r="T1" s="43"/>
      <c r="U1" s="43"/>
      <c r="V1" s="43"/>
      <c r="W1" s="43"/>
      <c r="X1" s="43"/>
      <c r="Y1" s="43"/>
      <c r="Z1" s="43"/>
    </row>
    <row r="2" customFormat="false" ht="13.5" hidden="false" customHeight="true" outlineLevel="0" collapsed="false">
      <c r="A2" s="44" t="s">
        <v>80</v>
      </c>
      <c r="B2" s="44"/>
      <c r="C2" s="45" t="s">
        <v>81</v>
      </c>
      <c r="D2" s="45"/>
      <c r="E2" s="45"/>
      <c r="F2" s="46" t="s">
        <v>82</v>
      </c>
      <c r="G2" s="46"/>
      <c r="H2" s="46"/>
      <c r="I2" s="46"/>
      <c r="J2" s="46"/>
      <c r="K2" s="46"/>
      <c r="L2" s="47" t="s">
        <v>83</v>
      </c>
      <c r="M2" s="47"/>
      <c r="N2" s="47"/>
      <c r="O2" s="47"/>
      <c r="P2" s="47"/>
      <c r="Q2" s="47"/>
      <c r="R2" s="47"/>
      <c r="S2" s="47"/>
      <c r="T2" s="47"/>
      <c r="U2" s="43"/>
      <c r="V2" s="48"/>
      <c r="W2" s="43"/>
      <c r="X2" s="43"/>
      <c r="Y2" s="43"/>
      <c r="Z2" s="43"/>
    </row>
    <row r="3" customFormat="false" ht="13.5" hidden="false" customHeight="true" outlineLevel="0" collapsed="false">
      <c r="A3" s="49" t="s">
        <v>84</v>
      </c>
      <c r="B3" s="49"/>
      <c r="C3" s="50" t="s">
        <v>85</v>
      </c>
      <c r="D3" s="50"/>
      <c r="E3" s="50"/>
      <c r="F3" s="51" t="s">
        <v>86</v>
      </c>
      <c r="G3" s="51"/>
      <c r="H3" s="51"/>
      <c r="I3" s="51"/>
      <c r="J3" s="51"/>
      <c r="K3" s="51"/>
      <c r="L3" s="52" t="s">
        <v>85</v>
      </c>
      <c r="M3" s="52"/>
      <c r="N3" s="52"/>
      <c r="O3" s="53"/>
      <c r="P3" s="53"/>
      <c r="Q3" s="53"/>
      <c r="R3" s="53"/>
      <c r="S3" s="53"/>
      <c r="T3" s="54"/>
      <c r="U3" s="43"/>
      <c r="V3" s="43"/>
      <c r="W3" s="43"/>
      <c r="X3" s="43"/>
      <c r="Y3" s="43"/>
      <c r="Z3" s="43"/>
    </row>
    <row r="4" customFormat="false" ht="13.5" hidden="false" customHeight="true" outlineLevel="0" collapsed="false">
      <c r="A4" s="49" t="s">
        <v>87</v>
      </c>
      <c r="B4" s="49"/>
      <c r="C4" s="55" t="n">
        <v>70</v>
      </c>
      <c r="D4" s="55"/>
      <c r="E4" s="56"/>
      <c r="F4" s="51" t="s">
        <v>88</v>
      </c>
      <c r="G4" s="51"/>
      <c r="H4" s="51"/>
      <c r="I4" s="51"/>
      <c r="J4" s="51"/>
      <c r="K4" s="51"/>
      <c r="L4" s="57" t="n">
        <v>0</v>
      </c>
      <c r="M4" s="57"/>
      <c r="N4" s="57"/>
      <c r="O4" s="57"/>
      <c r="P4" s="57"/>
      <c r="Q4" s="57"/>
      <c r="R4" s="57"/>
      <c r="S4" s="57"/>
      <c r="T4" s="57"/>
      <c r="U4" s="43"/>
      <c r="V4" s="48"/>
      <c r="W4" s="43"/>
      <c r="X4" s="43"/>
      <c r="Y4" s="43"/>
      <c r="Z4" s="43"/>
    </row>
    <row r="5" customFormat="false" ht="13.5" hidden="false" customHeight="true" outlineLevel="0" collapsed="false">
      <c r="A5" s="49" t="s">
        <v>89</v>
      </c>
      <c r="B5" s="49"/>
      <c r="C5" s="58" t="s">
        <v>90</v>
      </c>
      <c r="D5" s="58"/>
      <c r="E5" s="58"/>
      <c r="F5" s="58"/>
      <c r="G5" s="58"/>
      <c r="H5" s="58"/>
      <c r="I5" s="58"/>
      <c r="J5" s="58"/>
      <c r="K5" s="58"/>
      <c r="L5" s="58"/>
      <c r="M5" s="58"/>
      <c r="N5" s="58"/>
      <c r="O5" s="58"/>
      <c r="P5" s="58"/>
      <c r="Q5" s="58"/>
      <c r="R5" s="58"/>
      <c r="S5" s="58"/>
      <c r="T5" s="58"/>
      <c r="U5" s="43"/>
      <c r="V5" s="43"/>
      <c r="W5" s="43"/>
      <c r="X5" s="43"/>
      <c r="Y5" s="43"/>
      <c r="Z5" s="43"/>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43"/>
      <c r="V6" s="48"/>
      <c r="W6" s="43"/>
      <c r="X6" s="43"/>
      <c r="Y6" s="43"/>
      <c r="Z6" s="43"/>
    </row>
    <row r="7" customFormat="false" ht="13.5" hidden="false" customHeight="true" outlineLevel="0" collapsed="false">
      <c r="A7" s="63" t="n">
        <f aca="false">COUNTIF(F27:HQ27,"P")</f>
        <v>7</v>
      </c>
      <c r="B7" s="63"/>
      <c r="C7" s="64" t="n">
        <f aca="false">COUNTIF(F27:HQ27,"F")</f>
        <v>0</v>
      </c>
      <c r="D7" s="64"/>
      <c r="E7" s="64"/>
      <c r="F7" s="64" t="n">
        <f aca="false">SUM(O7,-A7,-C7)</f>
        <v>0</v>
      </c>
      <c r="G7" s="64"/>
      <c r="H7" s="64"/>
      <c r="I7" s="64"/>
      <c r="J7" s="64"/>
      <c r="K7" s="64"/>
      <c r="L7" s="65" t="n">
        <f aca="false">COUNTIF(E26:HQ26,"N")</f>
        <v>3</v>
      </c>
      <c r="M7" s="65" t="n">
        <f aca="false">COUNTIF(E26:HQ26,"A")</f>
        <v>4</v>
      </c>
      <c r="N7" s="65" t="n">
        <f aca="false">COUNTIF(E26:HQ26,"B")</f>
        <v>0</v>
      </c>
      <c r="O7" s="66" t="n">
        <f aca="false">COUNTA(E9:HT9)</f>
        <v>7</v>
      </c>
      <c r="P7" s="66"/>
      <c r="Q7" s="66"/>
      <c r="R7" s="66"/>
      <c r="S7" s="66"/>
      <c r="T7" s="66"/>
      <c r="U7" s="67"/>
      <c r="V7" s="43"/>
      <c r="W7" s="43"/>
      <c r="X7" s="43"/>
      <c r="Y7" s="43"/>
      <c r="Z7" s="43"/>
    </row>
    <row r="8" customFormat="false" ht="12" hidden="false" customHeight="true" outlineLevel="0" collapsed="false">
      <c r="A8" s="43"/>
      <c r="B8" s="43"/>
      <c r="C8" s="43"/>
      <c r="D8" s="43"/>
      <c r="E8" s="43"/>
      <c r="F8" s="43"/>
      <c r="G8" s="43"/>
      <c r="H8" s="43"/>
      <c r="I8" s="43"/>
      <c r="J8" s="43"/>
      <c r="K8" s="43"/>
      <c r="L8" s="43"/>
      <c r="M8" s="43"/>
      <c r="N8" s="43"/>
      <c r="O8" s="43"/>
      <c r="P8" s="43"/>
      <c r="Q8" s="43"/>
      <c r="R8" s="43"/>
      <c r="S8" s="43"/>
      <c r="T8" s="43"/>
      <c r="U8" s="43"/>
      <c r="V8" s="43"/>
      <c r="W8" s="43"/>
      <c r="X8" s="43"/>
      <c r="Y8" s="43"/>
      <c r="Z8" s="43"/>
    </row>
    <row r="9" customFormat="false" ht="46.5" hidden="false" customHeight="true" outlineLevel="0" collapsed="false">
      <c r="A9" s="68"/>
      <c r="B9" s="69"/>
      <c r="C9" s="69"/>
      <c r="D9" s="69"/>
      <c r="E9" s="69"/>
      <c r="F9" s="70" t="s">
        <v>96</v>
      </c>
      <c r="G9" s="70" t="s">
        <v>97</v>
      </c>
      <c r="H9" s="70" t="s">
        <v>98</v>
      </c>
      <c r="I9" s="70" t="s">
        <v>99</v>
      </c>
      <c r="J9" s="70" t="s">
        <v>100</v>
      </c>
      <c r="K9" s="70" t="s">
        <v>101</v>
      </c>
      <c r="L9" s="70" t="s">
        <v>102</v>
      </c>
      <c r="M9" s="43"/>
      <c r="N9" s="43"/>
      <c r="O9" s="43"/>
      <c r="P9" s="43"/>
      <c r="Q9" s="43"/>
      <c r="R9" s="43"/>
      <c r="S9" s="43"/>
      <c r="T9" s="43"/>
      <c r="U9" s="43"/>
      <c r="V9" s="48"/>
      <c r="W9" s="43"/>
      <c r="X9" s="43"/>
      <c r="Y9" s="43"/>
      <c r="Z9" s="43"/>
    </row>
    <row r="10" customFormat="false" ht="13.5" hidden="false" customHeight="true" outlineLevel="0" collapsed="false">
      <c r="A10" s="71" t="s">
        <v>103</v>
      </c>
      <c r="B10" s="72" t="s">
        <v>104</v>
      </c>
      <c r="C10" s="73"/>
      <c r="D10" s="74"/>
      <c r="E10" s="75"/>
      <c r="F10" s="76"/>
      <c r="G10" s="76"/>
      <c r="H10" s="76"/>
      <c r="I10" s="76"/>
      <c r="J10" s="76"/>
      <c r="K10" s="76"/>
      <c r="L10" s="76"/>
      <c r="M10" s="43"/>
      <c r="N10" s="43"/>
      <c r="O10" s="43"/>
      <c r="P10" s="43"/>
      <c r="Q10" s="43"/>
      <c r="R10" s="43"/>
      <c r="S10" s="43"/>
      <c r="T10" s="43"/>
      <c r="U10" s="43"/>
      <c r="V10" s="43"/>
      <c r="W10" s="43"/>
      <c r="X10" s="43"/>
      <c r="Y10" s="43"/>
      <c r="Z10" s="43"/>
    </row>
    <row r="11" customFormat="false" ht="18.75" hidden="false" customHeight="true" outlineLevel="0" collapsed="false">
      <c r="A11" s="77"/>
      <c r="B11" s="78"/>
      <c r="C11" s="79"/>
      <c r="D11" s="80" t="s">
        <v>105</v>
      </c>
      <c r="E11" s="75"/>
      <c r="F11" s="81" t="s">
        <v>106</v>
      </c>
      <c r="G11" s="82"/>
      <c r="H11" s="76"/>
      <c r="I11" s="76"/>
      <c r="J11" s="76"/>
      <c r="K11" s="76"/>
      <c r="L11" s="76"/>
      <c r="M11" s="43"/>
      <c r="N11" s="43"/>
      <c r="O11" s="43"/>
      <c r="P11" s="43"/>
      <c r="Q11" s="43"/>
      <c r="R11" s="43"/>
      <c r="S11" s="43"/>
      <c r="T11" s="43"/>
      <c r="U11" s="43"/>
      <c r="V11" s="48"/>
      <c r="W11" s="43"/>
      <c r="X11" s="43"/>
      <c r="Y11" s="43"/>
      <c r="Z11" s="43"/>
    </row>
    <row r="12" customFormat="false" ht="13.5" hidden="false" customHeight="true" outlineLevel="0" collapsed="false">
      <c r="A12" s="77"/>
      <c r="B12" s="78"/>
      <c r="C12" s="79"/>
      <c r="D12" s="80" t="s">
        <v>107</v>
      </c>
      <c r="E12" s="75"/>
      <c r="F12" s="82"/>
      <c r="G12" s="81" t="s">
        <v>106</v>
      </c>
      <c r="H12" s="83"/>
      <c r="I12" s="83"/>
      <c r="J12" s="83"/>
      <c r="K12" s="83"/>
      <c r="L12" s="83"/>
      <c r="M12" s="43"/>
      <c r="N12" s="43"/>
      <c r="O12" s="43"/>
      <c r="P12" s="43"/>
      <c r="Q12" s="43"/>
      <c r="R12" s="43"/>
      <c r="S12" s="43"/>
      <c r="T12" s="43"/>
      <c r="U12" s="43"/>
      <c r="V12" s="43"/>
      <c r="W12" s="43"/>
      <c r="X12" s="43"/>
      <c r="Y12" s="43"/>
      <c r="Z12" s="43"/>
    </row>
    <row r="13" customFormat="false" ht="13.5" hidden="false" customHeight="true" outlineLevel="0" collapsed="false">
      <c r="A13" s="77"/>
      <c r="B13" s="78"/>
      <c r="C13" s="79"/>
      <c r="D13" s="80" t="s">
        <v>108</v>
      </c>
      <c r="E13" s="84"/>
      <c r="F13" s="82"/>
      <c r="G13" s="81"/>
      <c r="H13" s="76" t="s">
        <v>106</v>
      </c>
      <c r="I13" s="76"/>
      <c r="J13" s="76"/>
      <c r="K13" s="76"/>
      <c r="L13" s="76"/>
      <c r="M13" s="43"/>
      <c r="N13" s="43"/>
      <c r="O13" s="43"/>
      <c r="P13" s="43"/>
      <c r="Q13" s="43"/>
      <c r="R13" s="43"/>
      <c r="S13" s="43"/>
      <c r="T13" s="43"/>
      <c r="U13" s="43"/>
      <c r="V13" s="43"/>
      <c r="W13" s="43"/>
      <c r="X13" s="43"/>
      <c r="Y13" s="43"/>
      <c r="Z13" s="43"/>
    </row>
    <row r="14" customFormat="false" ht="13.5" hidden="false" customHeight="true" outlineLevel="0" collapsed="false">
      <c r="A14" s="77"/>
      <c r="B14" s="78"/>
      <c r="C14" s="79"/>
      <c r="D14" s="80" t="s">
        <v>109</v>
      </c>
      <c r="E14" s="84"/>
      <c r="F14" s="82"/>
      <c r="G14" s="82"/>
      <c r="H14" s="83"/>
      <c r="I14" s="83" t="s">
        <v>106</v>
      </c>
      <c r="J14" s="83"/>
      <c r="K14" s="83"/>
      <c r="L14" s="83"/>
      <c r="M14" s="43"/>
      <c r="N14" s="43"/>
      <c r="O14" s="43"/>
      <c r="P14" s="43"/>
      <c r="Q14" s="43"/>
      <c r="R14" s="43"/>
      <c r="S14" s="43"/>
      <c r="T14" s="43"/>
      <c r="U14" s="43"/>
      <c r="V14" s="43"/>
      <c r="W14" s="43"/>
      <c r="X14" s="43"/>
      <c r="Y14" s="43"/>
      <c r="Z14" s="43"/>
    </row>
    <row r="15" customFormat="false" ht="13.5" hidden="false" customHeight="true" outlineLevel="0" collapsed="false">
      <c r="A15" s="77"/>
      <c r="B15" s="85"/>
      <c r="C15" s="73"/>
      <c r="D15" s="86" t="s">
        <v>110</v>
      </c>
      <c r="E15" s="84"/>
      <c r="F15" s="76"/>
      <c r="G15" s="76"/>
      <c r="H15" s="83"/>
      <c r="I15" s="76"/>
      <c r="J15" s="76" t="s">
        <v>106</v>
      </c>
      <c r="K15" s="76" t="s">
        <v>106</v>
      </c>
      <c r="L15" s="76" t="s">
        <v>106</v>
      </c>
      <c r="M15" s="43"/>
      <c r="N15" s="43"/>
      <c r="O15" s="43"/>
      <c r="P15" s="43"/>
      <c r="Q15" s="43"/>
      <c r="R15" s="43"/>
      <c r="S15" s="43"/>
      <c r="T15" s="43"/>
      <c r="U15" s="43"/>
      <c r="V15" s="43"/>
      <c r="W15" s="43"/>
      <c r="X15" s="43"/>
      <c r="Y15" s="43"/>
      <c r="Z15" s="43"/>
    </row>
    <row r="16" customFormat="false" ht="13.5" hidden="false" customHeight="true" outlineLevel="0" collapsed="false">
      <c r="A16" s="77"/>
      <c r="B16" s="85"/>
      <c r="C16" s="73"/>
      <c r="D16" s="86"/>
      <c r="E16" s="84"/>
      <c r="F16" s="76"/>
      <c r="G16" s="76"/>
      <c r="H16" s="83"/>
      <c r="I16" s="76"/>
      <c r="J16" s="76"/>
      <c r="K16" s="76"/>
      <c r="L16" s="76"/>
      <c r="M16" s="43"/>
      <c r="N16" s="43"/>
      <c r="O16" s="43"/>
      <c r="P16" s="43"/>
      <c r="Q16" s="43"/>
      <c r="R16" s="43"/>
      <c r="S16" s="43"/>
      <c r="T16" s="43"/>
      <c r="U16" s="43"/>
      <c r="V16" s="43"/>
      <c r="W16" s="43"/>
      <c r="X16" s="43"/>
      <c r="Y16" s="43"/>
      <c r="Z16" s="43"/>
    </row>
    <row r="17" customFormat="false" ht="13.5" hidden="false" customHeight="true" outlineLevel="0" collapsed="false">
      <c r="A17" s="87" t="s">
        <v>111</v>
      </c>
      <c r="B17" s="88" t="s">
        <v>112</v>
      </c>
      <c r="C17" s="89" t="s">
        <v>113</v>
      </c>
      <c r="D17" s="90"/>
      <c r="E17" s="91"/>
      <c r="F17" s="76" t="s">
        <v>106</v>
      </c>
      <c r="G17" s="76" t="s">
        <v>106</v>
      </c>
      <c r="H17" s="76" t="s">
        <v>106</v>
      </c>
      <c r="I17" s="76" t="s">
        <v>106</v>
      </c>
      <c r="J17" s="76" t="s">
        <v>106</v>
      </c>
      <c r="K17" s="76" t="s">
        <v>106</v>
      </c>
      <c r="L17" s="76" t="s">
        <v>106</v>
      </c>
      <c r="M17" s="43"/>
      <c r="N17" s="43"/>
      <c r="O17" s="43"/>
      <c r="P17" s="43"/>
      <c r="Q17" s="43"/>
      <c r="R17" s="43"/>
      <c r="S17" s="43"/>
      <c r="T17" s="43"/>
      <c r="U17" s="43"/>
      <c r="V17" s="43"/>
      <c r="W17" s="43"/>
      <c r="X17" s="43"/>
      <c r="Y17" s="43"/>
      <c r="Z17" s="43"/>
    </row>
    <row r="18" customFormat="false" ht="13.5" hidden="false" customHeight="true" outlineLevel="0" collapsed="false">
      <c r="A18" s="92"/>
      <c r="B18" s="93"/>
      <c r="C18" s="94" t="s">
        <v>114</v>
      </c>
      <c r="D18" s="95"/>
      <c r="E18" s="96"/>
      <c r="F18" s="82"/>
      <c r="G18" s="82"/>
      <c r="H18" s="83"/>
      <c r="I18" s="76" t="s">
        <v>106</v>
      </c>
      <c r="J18" s="76"/>
      <c r="K18" s="76"/>
      <c r="L18" s="76"/>
      <c r="M18" s="43"/>
      <c r="N18" s="43"/>
      <c r="O18" s="43"/>
      <c r="P18" s="43"/>
      <c r="Q18" s="43"/>
      <c r="R18" s="43"/>
      <c r="S18" s="43"/>
      <c r="T18" s="43"/>
      <c r="U18" s="43"/>
      <c r="V18" s="43"/>
      <c r="W18" s="43"/>
      <c r="X18" s="43"/>
      <c r="Y18" s="43"/>
      <c r="Z18" s="43"/>
    </row>
    <row r="19" customFormat="false" ht="13.5" hidden="false" customHeight="true" outlineLevel="0" collapsed="false">
      <c r="A19" s="92"/>
      <c r="B19" s="93"/>
      <c r="C19" s="94" t="s">
        <v>115</v>
      </c>
      <c r="D19" s="95"/>
      <c r="E19" s="96"/>
      <c r="F19" s="81"/>
      <c r="G19" s="81"/>
      <c r="H19" s="76"/>
      <c r="I19" s="83"/>
      <c r="J19" s="83" t="s">
        <v>106</v>
      </c>
      <c r="K19" s="83" t="s">
        <v>106</v>
      </c>
      <c r="L19" s="83" t="s">
        <v>106</v>
      </c>
      <c r="M19" s="43"/>
      <c r="N19" s="43"/>
      <c r="O19" s="43"/>
      <c r="P19" s="43"/>
      <c r="Q19" s="43"/>
      <c r="R19" s="43"/>
      <c r="S19" s="43"/>
      <c r="T19" s="43"/>
      <c r="U19" s="43"/>
      <c r="V19" s="43"/>
      <c r="W19" s="43"/>
      <c r="X19" s="43"/>
      <c r="Y19" s="43"/>
      <c r="Z19" s="43"/>
    </row>
    <row r="20" customFormat="false" ht="13.5" hidden="false" customHeight="true" outlineLevel="0" collapsed="false">
      <c r="A20" s="92"/>
      <c r="B20" s="97"/>
      <c r="C20" s="56"/>
      <c r="D20" s="98"/>
      <c r="E20" s="96"/>
      <c r="F20" s="82"/>
      <c r="G20" s="82"/>
      <c r="H20" s="76"/>
      <c r="I20" s="76"/>
      <c r="J20" s="76"/>
      <c r="K20" s="76"/>
      <c r="L20" s="76"/>
      <c r="M20" s="43"/>
      <c r="N20" s="43"/>
      <c r="O20" s="43"/>
      <c r="P20" s="43"/>
      <c r="Q20" s="43"/>
      <c r="R20" s="43"/>
      <c r="S20" s="43"/>
      <c r="T20" s="43"/>
      <c r="U20" s="43"/>
      <c r="V20" s="43"/>
      <c r="W20" s="43"/>
      <c r="X20" s="43"/>
      <c r="Y20" s="43"/>
      <c r="Z20" s="43"/>
    </row>
    <row r="21" customFormat="false" ht="13.5" hidden="false" customHeight="true" outlineLevel="0" collapsed="false">
      <c r="A21" s="92"/>
      <c r="B21" s="93"/>
      <c r="C21" s="56"/>
      <c r="D21" s="98"/>
      <c r="E21" s="96"/>
      <c r="F21" s="82"/>
      <c r="G21" s="82"/>
      <c r="H21" s="76"/>
      <c r="I21" s="76"/>
      <c r="J21" s="76"/>
      <c r="K21" s="76"/>
      <c r="L21" s="76"/>
      <c r="M21" s="43"/>
      <c r="N21" s="43"/>
      <c r="O21" s="43"/>
      <c r="P21" s="43"/>
      <c r="Q21" s="43"/>
      <c r="R21" s="43"/>
      <c r="S21" s="43"/>
      <c r="T21" s="43"/>
      <c r="U21" s="43"/>
      <c r="V21" s="43"/>
      <c r="W21" s="43"/>
      <c r="X21" s="43"/>
      <c r="Y21" s="43"/>
      <c r="Z21" s="43"/>
    </row>
    <row r="22" customFormat="false" ht="13.5" hidden="false" customHeight="true" outlineLevel="0" collapsed="false">
      <c r="A22" s="92"/>
      <c r="B22" s="97" t="s">
        <v>116</v>
      </c>
      <c r="C22" s="56"/>
      <c r="D22" s="98"/>
      <c r="E22" s="96"/>
      <c r="F22" s="82"/>
      <c r="G22" s="82"/>
      <c r="H22" s="76"/>
      <c r="I22" s="76"/>
      <c r="J22" s="76"/>
      <c r="K22" s="76"/>
      <c r="L22" s="76"/>
      <c r="M22" s="43"/>
      <c r="N22" s="43"/>
      <c r="O22" s="43"/>
      <c r="P22" s="43"/>
      <c r="Q22" s="43"/>
      <c r="R22" s="43"/>
      <c r="S22" s="43"/>
      <c r="T22" s="43"/>
      <c r="U22" s="43"/>
      <c r="V22" s="43"/>
      <c r="W22" s="43"/>
      <c r="X22" s="43"/>
      <c r="Y22" s="43"/>
      <c r="Z22" s="43"/>
    </row>
    <row r="23" customFormat="false" ht="13.5" hidden="false" customHeight="true" outlineLevel="0" collapsed="false">
      <c r="A23" s="92"/>
      <c r="B23" s="93"/>
      <c r="C23" s="56"/>
      <c r="D23" s="99" t="s">
        <v>117</v>
      </c>
      <c r="E23" s="96"/>
      <c r="F23" s="82" t="s">
        <v>106</v>
      </c>
      <c r="G23" s="82"/>
      <c r="H23" s="83"/>
      <c r="I23" s="76" t="s">
        <v>106</v>
      </c>
      <c r="J23" s="76"/>
      <c r="K23" s="76" t="s">
        <v>106</v>
      </c>
      <c r="L23" s="76"/>
      <c r="M23" s="43"/>
      <c r="N23" s="43"/>
      <c r="O23" s="43"/>
      <c r="P23" s="43"/>
      <c r="Q23" s="43"/>
      <c r="R23" s="43"/>
      <c r="S23" s="43"/>
      <c r="T23" s="43"/>
      <c r="U23" s="43"/>
      <c r="V23" s="43"/>
      <c r="W23" s="43"/>
      <c r="X23" s="43"/>
      <c r="Y23" s="43"/>
      <c r="Z23" s="43"/>
    </row>
    <row r="24" customFormat="false" ht="13.5" hidden="false" customHeight="true" outlineLevel="0" collapsed="false">
      <c r="A24" s="92"/>
      <c r="B24" s="100"/>
      <c r="C24" s="101"/>
      <c r="D24" s="102" t="s">
        <v>118</v>
      </c>
      <c r="E24" s="103"/>
      <c r="F24" s="104"/>
      <c r="G24" s="105" t="s">
        <v>106</v>
      </c>
      <c r="H24" s="76" t="s">
        <v>106</v>
      </c>
      <c r="I24" s="83"/>
      <c r="J24" s="83" t="s">
        <v>106</v>
      </c>
      <c r="K24" s="83"/>
      <c r="L24" s="83" t="s">
        <v>106</v>
      </c>
      <c r="M24" s="43"/>
      <c r="N24" s="43"/>
      <c r="O24" s="43"/>
      <c r="P24" s="43"/>
      <c r="Q24" s="43"/>
      <c r="R24" s="43"/>
      <c r="S24" s="43"/>
      <c r="T24" s="43"/>
      <c r="U24" s="43"/>
      <c r="V24" s="43"/>
      <c r="W24" s="43"/>
      <c r="X24" s="43"/>
      <c r="Y24" s="43"/>
      <c r="Z24" s="43"/>
    </row>
    <row r="25" customFormat="false" ht="21.75" hidden="false" customHeight="true" outlineLevel="0" collapsed="false">
      <c r="A25" s="92"/>
      <c r="B25" s="100"/>
      <c r="C25" s="101"/>
      <c r="D25" s="99" t="s">
        <v>119</v>
      </c>
      <c r="E25" s="103"/>
      <c r="F25" s="106"/>
      <c r="G25" s="107"/>
      <c r="H25" s="108"/>
      <c r="I25" s="76" t="s">
        <v>106</v>
      </c>
      <c r="J25" s="76"/>
      <c r="K25" s="76" t="s">
        <v>106</v>
      </c>
      <c r="L25" s="76" t="s">
        <v>106</v>
      </c>
      <c r="M25" s="43"/>
      <c r="N25" s="43"/>
      <c r="O25" s="43"/>
      <c r="P25" s="43"/>
      <c r="Q25" s="43"/>
      <c r="R25" s="43"/>
      <c r="S25" s="43"/>
      <c r="T25" s="43"/>
      <c r="U25" s="43"/>
      <c r="V25" s="43"/>
      <c r="W25" s="43"/>
      <c r="X25" s="43"/>
      <c r="Y25" s="43"/>
      <c r="Z25" s="43"/>
    </row>
    <row r="26" customFormat="false" ht="15" hidden="false" customHeight="true" outlineLevel="0" collapsed="false">
      <c r="A26" s="87" t="s">
        <v>120</v>
      </c>
      <c r="B26" s="109" t="s">
        <v>121</v>
      </c>
      <c r="C26" s="109"/>
      <c r="D26" s="109"/>
      <c r="E26" s="110"/>
      <c r="F26" s="111" t="s">
        <v>122</v>
      </c>
      <c r="G26" s="111" t="s">
        <v>66</v>
      </c>
      <c r="H26" s="111" t="s">
        <v>66</v>
      </c>
      <c r="I26" s="111" t="s">
        <v>122</v>
      </c>
      <c r="J26" s="111" t="s">
        <v>66</v>
      </c>
      <c r="K26" s="111" t="s">
        <v>122</v>
      </c>
      <c r="L26" s="111" t="s">
        <v>66</v>
      </c>
      <c r="M26" s="43"/>
      <c r="N26" s="43"/>
      <c r="O26" s="43"/>
      <c r="P26" s="43"/>
      <c r="Q26" s="43"/>
      <c r="R26" s="43"/>
      <c r="S26" s="43"/>
      <c r="T26" s="43"/>
      <c r="U26" s="43"/>
      <c r="V26" s="43"/>
      <c r="W26" s="43"/>
      <c r="X26" s="43"/>
      <c r="Y26" s="43"/>
      <c r="Z26" s="43"/>
    </row>
    <row r="27" customFormat="false" ht="12" hidden="false" customHeight="true" outlineLevel="0" collapsed="false">
      <c r="A27" s="92"/>
      <c r="B27" s="112" t="s">
        <v>123</v>
      </c>
      <c r="C27" s="112"/>
      <c r="D27" s="112"/>
      <c r="E27" s="113"/>
      <c r="F27" s="114" t="s">
        <v>124</v>
      </c>
      <c r="G27" s="114" t="s">
        <v>124</v>
      </c>
      <c r="H27" s="114" t="s">
        <v>124</v>
      </c>
      <c r="I27" s="114" t="s">
        <v>124</v>
      </c>
      <c r="J27" s="114" t="s">
        <v>124</v>
      </c>
      <c r="K27" s="114" t="s">
        <v>124</v>
      </c>
      <c r="L27" s="114" t="s">
        <v>124</v>
      </c>
      <c r="M27" s="43"/>
      <c r="N27" s="43"/>
      <c r="O27" s="43"/>
      <c r="P27" s="43"/>
      <c r="Q27" s="43"/>
      <c r="R27" s="43"/>
      <c r="S27" s="43"/>
      <c r="T27" s="43"/>
      <c r="U27" s="43"/>
      <c r="V27" s="43"/>
      <c r="W27" s="43"/>
      <c r="X27" s="43"/>
      <c r="Y27" s="43"/>
      <c r="Z27" s="43"/>
    </row>
    <row r="28" customFormat="false" ht="57.75" hidden="false" customHeight="true" outlineLevel="0" collapsed="false">
      <c r="A28" s="92"/>
      <c r="B28" s="115" t="s">
        <v>125</v>
      </c>
      <c r="C28" s="115"/>
      <c r="D28" s="115"/>
      <c r="E28" s="113"/>
      <c r="F28" s="116" t="n">
        <v>46042</v>
      </c>
      <c r="G28" s="116" t="n">
        <v>46042</v>
      </c>
      <c r="H28" s="116" t="n">
        <v>46042</v>
      </c>
      <c r="I28" s="116" t="n">
        <v>46042</v>
      </c>
      <c r="J28" s="116" t="n">
        <v>46042</v>
      </c>
      <c r="K28" s="116" t="n">
        <v>46042</v>
      </c>
      <c r="L28" s="116" t="n">
        <v>46042</v>
      </c>
      <c r="M28" s="43"/>
      <c r="N28" s="43"/>
      <c r="O28" s="43"/>
      <c r="P28" s="43"/>
      <c r="Q28" s="43"/>
      <c r="R28" s="43"/>
      <c r="S28" s="43"/>
      <c r="T28" s="43"/>
      <c r="U28" s="43"/>
      <c r="V28" s="43"/>
      <c r="W28" s="43"/>
      <c r="X28" s="43"/>
      <c r="Y28" s="43"/>
      <c r="Z28" s="43"/>
    </row>
    <row r="29" customFormat="false" ht="74.25" hidden="false" customHeight="true" outlineLevel="0" collapsed="false">
      <c r="A29" s="117"/>
      <c r="B29" s="118" t="s">
        <v>126</v>
      </c>
      <c r="C29" s="118"/>
      <c r="D29" s="118"/>
      <c r="E29" s="119"/>
      <c r="F29" s="120" t="s">
        <v>127</v>
      </c>
      <c r="G29" s="120" t="s">
        <v>128</v>
      </c>
      <c r="H29" s="120" t="s">
        <v>129</v>
      </c>
      <c r="I29" s="120" t="s">
        <v>130</v>
      </c>
      <c r="J29" s="120" t="s">
        <v>131</v>
      </c>
      <c r="K29" s="120" t="s">
        <v>132</v>
      </c>
      <c r="L29" s="120" t="s">
        <v>133</v>
      </c>
      <c r="M29" s="43"/>
      <c r="N29" s="43"/>
      <c r="O29" s="43"/>
      <c r="P29" s="43"/>
      <c r="Q29" s="43"/>
      <c r="R29" s="43"/>
      <c r="S29" s="43"/>
      <c r="T29" s="43"/>
      <c r="U29" s="43"/>
      <c r="V29" s="43"/>
      <c r="W29" s="43"/>
      <c r="X29" s="43"/>
      <c r="Y29" s="43"/>
      <c r="Z29" s="43"/>
    </row>
    <row r="30" customFormat="false" ht="13.5" hidden="false" customHeight="true" outlineLevel="0" collapsed="false">
      <c r="A30" s="84"/>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ustomFormat="false" ht="13.5" hidden="false" customHeight="true" outlineLevel="0" collapsed="false">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ustomFormat="false" ht="13.5" hidden="false" customHeight="true" outlineLevel="0" collapsed="false">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ustomFormat="false" ht="13.5" hidden="false" customHeight="true" outlineLevel="0" collapsed="false">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ustomFormat="false" ht="13.5" hidden="false" customHeight="true" outlineLevel="0" collapsed="false">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ustomFormat="false" ht="13.5" hidden="false" customHeight="true" outlineLevel="0" collapsed="false">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ustomFormat="false" ht="13.5" hidden="false" customHeight="true" outlineLevel="0" collapsed="false">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ustomFormat="false" ht="13.5" hidden="false" customHeight="true" outlineLevel="0" collapsed="false">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ustomFormat="false" ht="13.5" hidden="false" customHeight="true" outlineLevel="0" collapsed="false">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ustomFormat="false" ht="13.5" hidden="false" customHeight="true" outlineLevel="0" collapsed="false">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ustomFormat="false" ht="13.5" hidden="false" customHeight="true" outlineLevel="0" collapsed="false">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ustomFormat="false" ht="13.5" hidden="false" customHeight="true" outlineLevel="0" collapsed="false">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ustomFormat="false" ht="13.5" hidden="false" customHeight="true" outlineLevel="0" collapsed="false">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ustomFormat="false" ht="13.5" hidden="false" customHeight="true" outlineLevel="0" collapsed="false">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ustomFormat="false" ht="13.5" hidden="false" customHeight="true" outlineLevel="0" collapsed="false">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ustomFormat="false" ht="13.5" hidden="false" customHeight="true" outlineLevel="0" collapsed="false">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ustomFormat="false" ht="13.5" hidden="false" customHeight="true" outlineLevel="0" collapsed="false">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ustomFormat="false" ht="13.5" hidden="false" customHeight="true" outlineLevel="0" collapsed="false">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ustomFormat="false" ht="13.5" hidden="false" customHeight="true" outlineLevel="0" collapsed="false">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ustomFormat="false" ht="13.5" hidden="false" customHeight="true" outlineLevel="0" collapsed="false">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ustomFormat="false" ht="13.5" hidden="false" customHeight="true" outlineLevel="0" collapsed="false">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ustomFormat="false" ht="13.5" hidden="false" customHeight="true" outlineLevel="0" collapsed="false">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ustomFormat="false" ht="13.5" hidden="false" customHeight="true" outlineLevel="0" collapsed="false">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ustomFormat="false" ht="13.5" hidden="false" customHeight="true" outlineLevel="0" collapsed="false">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ustomFormat="false" ht="13.5" hidden="false" customHeight="true" outlineLevel="0" collapsed="false">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ustomFormat="false" ht="13.5" hidden="false" customHeight="true" outlineLevel="0" collapsed="false">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ustomFormat="false" ht="13.5" hidden="false" customHeight="true" outlineLevel="0" collapsed="false">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ustomFormat="false" ht="13.5" hidden="false" customHeight="true" outlineLevel="0" collapsed="false">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ustomFormat="false" ht="13.5" hidden="false" customHeight="true" outlineLevel="0" collapsed="false">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ustomFormat="false" ht="13.5" hidden="false" customHeight="true" outlineLevel="0" collapsed="false">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ustomFormat="false" ht="13.5" hidden="false" customHeight="true" outlineLevel="0" collapsed="false">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ustomFormat="false" ht="13.5" hidden="false" customHeight="true" outlineLevel="0" collapsed="false">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ustomFormat="false" ht="13.5" hidden="false" customHeight="true" outlineLevel="0" collapsed="false">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ustomFormat="false" ht="13.5" hidden="false" customHeight="true" outlineLevel="0" collapsed="false">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ustomFormat="false" ht="13.5" hidden="false" customHeight="true" outlineLevel="0" collapsed="false">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ustomFormat="false" ht="13.5" hidden="false" customHeight="true" outlineLevel="0" collapsed="false">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ustomFormat="false" ht="13.5" hidden="false" customHeight="true" outlineLevel="0" collapsed="false">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ustomFormat="false" ht="13.5" hidden="false" customHeight="true" outlineLevel="0" collapsed="false">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ustomFormat="false" ht="13.5" hidden="false" customHeight="true" outlineLevel="0" collapsed="false">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ustomFormat="false" ht="13.5" hidden="false" customHeight="true" outlineLevel="0" collapsed="false">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ustomFormat="false" ht="13.5" hidden="false" customHeight="true" outlineLevel="0" collapsed="false">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ustomFormat="false" ht="13.5" hidden="false" customHeight="true" outlineLevel="0" collapsed="false">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ustomFormat="false" ht="13.5" hidden="false" customHeight="true" outlineLevel="0" collapsed="false">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ustomFormat="false" ht="13.5" hidden="false" customHeight="true" outlineLevel="0" collapsed="false">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ustomFormat="false" ht="13.5" hidden="false" customHeight="true" outlineLevel="0" collapsed="false">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ustomFormat="false" ht="13.5" hidden="false" customHeight="true" outlineLevel="0" collapsed="false">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ustomFormat="false" ht="13.5" hidden="false" customHeight="true" outlineLevel="0" collapsed="false">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ustomFormat="false" ht="13.5" hidden="false" customHeight="true" outlineLevel="0" collapsed="false">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ustomFormat="false" ht="13.5" hidden="false" customHeight="true" outlineLevel="0" collapsed="false">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ustomFormat="false" ht="13.5" hidden="false" customHeight="true" outlineLevel="0" collapsed="false">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ustomFormat="false" ht="13.5" hidden="false" customHeight="true" outlineLevel="0" collapsed="false">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ustomFormat="false" ht="13.5" hidden="false" customHeight="true" outlineLevel="0" collapsed="false">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ustomFormat="false" ht="13.5" hidden="false" customHeight="true" outlineLevel="0" collapsed="false">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ustomFormat="false" ht="13.5" hidden="false" customHeight="true" outlineLevel="0" collapsed="false">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ustomFormat="false" ht="13.5" hidden="false" customHeight="true" outlineLevel="0" collapsed="false">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ustomFormat="false" ht="13.5" hidden="false" customHeight="true" outlineLevel="0" collapsed="false">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ustomFormat="false" ht="13.5" hidden="false" customHeight="true" outlineLevel="0" collapsed="false">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ustomFormat="false" ht="13.5" hidden="false" customHeight="true" outlineLevel="0" collapsed="false">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ustomFormat="false" ht="13.5" hidden="false" customHeight="true" outlineLevel="0" collapsed="false">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ustomFormat="false" ht="13.5" hidden="false" customHeight="true" outlineLevel="0" collapsed="false">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ustomFormat="false" ht="13.5" hidden="false" customHeight="true" outlineLevel="0" collapsed="false">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ustomFormat="false" ht="13.5" hidden="false" customHeight="true" outlineLevel="0" collapsed="false">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ustomFormat="false" ht="13.5" hidden="false" customHeight="true" outlineLevel="0" collapsed="false">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ustomFormat="false" ht="13.5" hidden="false" customHeight="true" outlineLevel="0" collapsed="false">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ustomFormat="false" ht="13.5" hidden="false" customHeight="true" outlineLevel="0" collapsed="false">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ustomFormat="false" ht="13.5" hidden="false" customHeight="true" outlineLevel="0" collapsed="false">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ustomFormat="false" ht="13.5" hidden="false" customHeight="true" outlineLevel="0" collapsed="false">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ustomFormat="false" ht="13.5" hidden="false" customHeight="true" outlineLevel="0" collapsed="false">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ustomFormat="false" ht="13.5" hidden="false" customHeight="true" outlineLevel="0" collapsed="false">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ustomFormat="false" ht="13.5" hidden="false" customHeight="true" outlineLevel="0" collapsed="false">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ustomFormat="false" ht="13.5" hidden="false" customHeight="true" outlineLevel="0" collapsed="false">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ustomFormat="false" ht="13.5" hidden="false" customHeight="true" outlineLevel="0" collapsed="false">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ustomFormat="false" ht="13.5" hidden="false" customHeight="true" outlineLevel="0" collapsed="false">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ustomFormat="false" ht="13.5" hidden="false" customHeight="true" outlineLevel="0" collapsed="false">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ustomFormat="false" ht="13.5" hidden="false" customHeight="true" outlineLevel="0" collapsed="false">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ustomFormat="false" ht="13.5" hidden="false" customHeight="true" outlineLevel="0" collapsed="false">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ustomFormat="false" ht="13.5" hidden="false" customHeight="true" outlineLevel="0" collapsed="false">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ustomFormat="false" ht="13.5" hidden="false" customHeight="true" outlineLevel="0" collapsed="false">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ustomFormat="false" ht="13.5" hidden="false" customHeight="true" outlineLevel="0" collapsed="false">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ustomFormat="false" ht="13.5" hidden="false" customHeight="true" outlineLevel="0" collapsed="false">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ustomFormat="false" ht="13.5" hidden="false" customHeight="true" outlineLevel="0" collapsed="false">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ustomFormat="false" ht="13.5" hidden="false" customHeight="true" outlineLevel="0" collapsed="false">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ustomFormat="false" ht="13.5" hidden="false" customHeight="true" outlineLevel="0" collapsed="false">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ustomFormat="false" ht="13.5" hidden="false" customHeight="true" outlineLevel="0" collapsed="false">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ustomFormat="false" ht="13.5" hidden="false" customHeight="true" outlineLevel="0" collapsed="false">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ustomFormat="false" ht="13.5" hidden="false" customHeight="true" outlineLevel="0" collapsed="false">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ustomFormat="false" ht="13.5" hidden="false" customHeight="true" outlineLevel="0" collapsed="false">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ustomFormat="false" ht="13.5" hidden="false" customHeight="true" outlineLevel="0" collapsed="false">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ustomFormat="false" ht="13.5" hidden="false" customHeight="true" outlineLevel="0" collapsed="false">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ustomFormat="false" ht="13.5" hidden="false" customHeight="true" outlineLevel="0" collapsed="false">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ustomFormat="false" ht="13.5" hidden="false" customHeight="true" outlineLevel="0" collapsed="false">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ustomFormat="false" ht="13.5" hidden="false" customHeight="true" outlineLevel="0" collapsed="false">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ustomFormat="false" ht="13.5" hidden="false" customHeight="true" outlineLevel="0" collapsed="false">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ustomFormat="false" ht="13.5" hidden="false" customHeight="true" outlineLevel="0" collapsed="false">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ustomFormat="false" ht="13.5" hidden="false" customHeight="true" outlineLevel="0" collapsed="false">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ustomFormat="false" ht="13.5" hidden="false" customHeight="true" outlineLevel="0" collapsed="false">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ustomFormat="false" ht="13.5" hidden="false" customHeight="true" outlineLevel="0" collapsed="false">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ustomFormat="false" ht="13.5" hidden="false" customHeight="true" outlineLevel="0" collapsed="false">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ustomFormat="false" ht="13.5" hidden="false" customHeight="true" outlineLevel="0" collapsed="false">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ustomFormat="false" ht="13.5" hidden="false" customHeight="true" outlineLevel="0" collapsed="false">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ustomFormat="false" ht="13.5" hidden="false" customHeight="true" outlineLevel="0" collapsed="false">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ustomFormat="false" ht="13.5" hidden="false" customHeight="true" outlineLevel="0" collapsed="false">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ustomFormat="false" ht="13.5" hidden="false" customHeight="true" outlineLevel="0" collapsed="false">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ustomFormat="false" ht="13.5" hidden="false" customHeight="true" outlineLevel="0" collapsed="false">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ustomFormat="false" ht="13.5" hidden="false" customHeight="true" outlineLevel="0" collapsed="false">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ustomFormat="false" ht="13.5" hidden="false" customHeight="true" outlineLevel="0" collapsed="false">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ustomFormat="false" ht="13.5" hidden="false" customHeight="true" outlineLevel="0" collapsed="false">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ustomFormat="false" ht="13.5" hidden="false" customHeight="true" outlineLevel="0" collapsed="false">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ustomFormat="false" ht="13.5" hidden="false" customHeight="true" outlineLevel="0" collapsed="false">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ustomFormat="false" ht="13.5" hidden="false" customHeight="true" outlineLevel="0" collapsed="false">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ustomFormat="false" ht="13.5" hidden="false" customHeight="true" outlineLevel="0" collapsed="false">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ustomFormat="false" ht="13.5" hidden="false" customHeight="true" outlineLevel="0" collapsed="false">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ustomFormat="false" ht="13.5" hidden="false" customHeight="true" outlineLevel="0" collapsed="false">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ustomFormat="false" ht="13.5" hidden="false" customHeight="true" outlineLevel="0" collapsed="false">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ustomFormat="false" ht="13.5" hidden="false" customHeight="true" outlineLevel="0" collapsed="false">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ustomFormat="false" ht="13.5" hidden="false" customHeight="true" outlineLevel="0" collapsed="false">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ustomFormat="false" ht="13.5" hidden="false" customHeight="true" outlineLevel="0" collapsed="false">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ustomFormat="false" ht="13.5" hidden="false" customHeight="true" outlineLevel="0" collapsed="false">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ustomFormat="false" ht="13.5" hidden="false" customHeight="true" outlineLevel="0" collapsed="false">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ustomFormat="false" ht="13.5" hidden="false" customHeight="true" outlineLevel="0" collapsed="false">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ustomFormat="false" ht="13.5" hidden="false" customHeight="true" outlineLevel="0" collapsed="false">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ustomFormat="false" ht="13.5" hidden="false" customHeight="true" outlineLevel="0" collapsed="false">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ustomFormat="false" ht="13.5" hidden="false" customHeight="true" outlineLevel="0" collapsed="false">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ustomFormat="false" ht="13.5" hidden="false" customHeight="true" outlineLevel="0" collapsed="false">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ustomFormat="false" ht="13.5" hidden="false" customHeight="true" outlineLevel="0" collapsed="false">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ustomFormat="false" ht="13.5" hidden="false" customHeight="true" outlineLevel="0" collapsed="false">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ustomFormat="false" ht="13.5" hidden="false" customHeight="true" outlineLevel="0" collapsed="false">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ustomFormat="false" ht="13.5" hidden="false" customHeight="true" outlineLevel="0" collapsed="false">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ustomFormat="false" ht="13.5" hidden="false" customHeight="true" outlineLevel="0" collapsed="false">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ustomFormat="false" ht="13.5" hidden="false" customHeight="true" outlineLevel="0" collapsed="false">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ustomFormat="false" ht="13.5" hidden="false" customHeight="true" outlineLevel="0" collapsed="false">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ustomFormat="false" ht="13.5" hidden="false" customHeight="true" outlineLevel="0" collapsed="false">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ustomFormat="false" ht="13.5" hidden="false" customHeight="true" outlineLevel="0" collapsed="false">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ustomFormat="false" ht="13.5" hidden="false" customHeight="true" outlineLevel="0" collapsed="false">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ustomFormat="false" ht="13.5" hidden="false" customHeight="true" outlineLevel="0" collapsed="false">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ustomFormat="false" ht="13.5" hidden="false" customHeight="true" outlineLevel="0" collapsed="false">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ustomFormat="false" ht="13.5" hidden="false" customHeight="true" outlineLevel="0" collapsed="false">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ustomFormat="false" ht="13.5" hidden="false" customHeight="true" outlineLevel="0" collapsed="false">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ustomFormat="false" ht="13.5" hidden="false" customHeight="true" outlineLevel="0" collapsed="false">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ustomFormat="false" ht="13.5" hidden="false" customHeight="true" outlineLevel="0" collapsed="false">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ustomFormat="false" ht="13.5" hidden="false" customHeight="true" outlineLevel="0" collapsed="false">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ustomFormat="false" ht="13.5" hidden="false" customHeight="true" outlineLevel="0" collapsed="false">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ustomFormat="false" ht="13.5" hidden="false" customHeight="true" outlineLevel="0" collapsed="false">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ustomFormat="false" ht="13.5" hidden="false" customHeight="true" outlineLevel="0" collapsed="false">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ustomFormat="false" ht="13.5" hidden="false" customHeight="true" outlineLevel="0" collapsed="false">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ustomFormat="false" ht="13.5" hidden="false" customHeight="true" outlineLevel="0" collapsed="false">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ustomFormat="false" ht="13.5" hidden="false" customHeight="true" outlineLevel="0" collapsed="false">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ustomFormat="false" ht="13.5" hidden="false" customHeight="true" outlineLevel="0" collapsed="false">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ustomFormat="false" ht="13.5" hidden="false" customHeight="true" outlineLevel="0" collapsed="false">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ustomFormat="false" ht="13.5" hidden="false" customHeight="true" outlineLevel="0" collapsed="false">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ustomFormat="false" ht="13.5" hidden="false" customHeight="true" outlineLevel="0" collapsed="false">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ustomFormat="false" ht="13.5" hidden="false" customHeight="true" outlineLevel="0" collapsed="false">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ustomFormat="false" ht="13.5" hidden="false" customHeight="true" outlineLevel="0" collapsed="false">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ustomFormat="false" ht="13.5" hidden="false" customHeight="true" outlineLevel="0" collapsed="false">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ustomFormat="false" ht="13.5" hidden="false" customHeight="true" outlineLevel="0" collapsed="false">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ustomFormat="false" ht="13.5" hidden="false" customHeight="true" outlineLevel="0" collapsed="false">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ustomFormat="false" ht="13.5" hidden="false" customHeight="true" outlineLevel="0" collapsed="false">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ustomFormat="false" ht="13.5" hidden="false" customHeight="true" outlineLevel="0" collapsed="false">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ustomFormat="false" ht="13.5" hidden="false" customHeight="true" outlineLevel="0" collapsed="false">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ustomFormat="false" ht="13.5" hidden="false" customHeight="true" outlineLevel="0" collapsed="false">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ustomFormat="false" ht="13.5" hidden="false" customHeight="true" outlineLevel="0" collapsed="false">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ustomFormat="false" ht="13.5" hidden="false" customHeight="true" outlineLevel="0" collapsed="false">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ustomFormat="false" ht="13.5" hidden="false" customHeight="true" outlineLevel="0" collapsed="false">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ustomFormat="false" ht="13.5" hidden="false" customHeight="true" outlineLevel="0" collapsed="false">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ustomFormat="false" ht="13.5" hidden="false" customHeight="true" outlineLevel="0" collapsed="false">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ustomFormat="false" ht="13.5" hidden="false" customHeight="true" outlineLevel="0" collapsed="false">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ustomFormat="false" ht="13.5" hidden="false" customHeight="true" outlineLevel="0" collapsed="false">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ustomFormat="false" ht="13.5" hidden="false" customHeight="true" outlineLevel="0" collapsed="false">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ustomFormat="false" ht="13.5" hidden="false" customHeight="true" outlineLevel="0" collapsed="false">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ustomFormat="false" ht="13.5" hidden="false" customHeight="true" outlineLevel="0" collapsed="false">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ustomFormat="false" ht="13.5" hidden="false" customHeight="true" outlineLevel="0" collapsed="false">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ustomFormat="false" ht="13.5" hidden="false" customHeight="true" outlineLevel="0" collapsed="false">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ustomFormat="false" ht="13.5" hidden="false" customHeight="true" outlineLevel="0" collapsed="false">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ustomFormat="false" ht="13.5" hidden="false" customHeight="true" outlineLevel="0" collapsed="false">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ustomFormat="false" ht="13.5" hidden="false" customHeight="true" outlineLevel="0" collapsed="false">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ustomFormat="false" ht="13.5" hidden="false" customHeight="true" outlineLevel="0" collapsed="false">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ustomFormat="false" ht="13.5" hidden="false" customHeight="true" outlineLevel="0" collapsed="false">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ustomFormat="false" ht="13.5" hidden="false" customHeight="true" outlineLevel="0" collapsed="false">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ustomFormat="false" ht="13.5" hidden="false" customHeight="true" outlineLevel="0" collapsed="false">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ustomFormat="false" ht="13.5" hidden="false" customHeight="true" outlineLevel="0" collapsed="false">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ustomFormat="false" ht="13.5" hidden="false" customHeight="true" outlineLevel="0" collapsed="false">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ustomFormat="false" ht="13.5" hidden="false" customHeight="true" outlineLevel="0" collapsed="false">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ustomFormat="false" ht="13.5" hidden="false" customHeight="true" outlineLevel="0" collapsed="false">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ustomFormat="false" ht="13.5" hidden="false" customHeight="true" outlineLevel="0" collapsed="false">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ustomFormat="false" ht="13.5" hidden="false" customHeight="true" outlineLevel="0" collapsed="false">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ustomFormat="false" ht="13.5" hidden="false" customHeight="true" outlineLevel="0" collapsed="false">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ustomFormat="false" ht="13.5" hidden="false" customHeight="true" outlineLevel="0" collapsed="false">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ustomFormat="false" ht="13.5" hidden="false" customHeight="true" outlineLevel="0" collapsed="false">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ustomFormat="false" ht="13.5" hidden="false" customHeight="true" outlineLevel="0" collapsed="false">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ustomFormat="false" ht="13.5" hidden="false" customHeight="true" outlineLevel="0" collapsed="false">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ustomFormat="false" ht="13.5" hidden="false" customHeight="true" outlineLevel="0" collapsed="false">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ustomFormat="false" ht="13.5" hidden="false" customHeight="true" outlineLevel="0" collapsed="false">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ustomFormat="false" ht="13.5" hidden="false" customHeight="true" outlineLevel="0" collapsed="false">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ustomFormat="false" ht="13.5" hidden="false" customHeight="true" outlineLevel="0" collapsed="false">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ustomFormat="false" ht="13.5" hidden="false" customHeight="true" outlineLevel="0" collapsed="false">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ustomFormat="false" ht="13.5" hidden="false" customHeight="true" outlineLevel="0" collapsed="false">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ustomFormat="false" ht="13.5" hidden="false" customHeight="true" outlineLevel="0" collapsed="false">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ustomFormat="false" ht="13.5" hidden="false" customHeight="true" outlineLevel="0" collapsed="false">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ustomFormat="false" ht="13.5" hidden="false" customHeight="true" outlineLevel="0" collapsed="false">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ustomFormat="false" ht="13.5" hidden="false" customHeight="true" outlineLevel="0" collapsed="false">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ustomFormat="false" ht="13.5" hidden="false" customHeight="true" outlineLevel="0" collapsed="false">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ustomFormat="false" ht="13.5" hidden="false" customHeight="true" outlineLevel="0" collapsed="false">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ustomFormat="false" ht="13.5" hidden="false" customHeight="true" outlineLevel="0" collapsed="false">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ustomFormat="false" ht="13.5" hidden="false" customHeight="true" outlineLevel="0" collapsed="false">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ustomFormat="false" ht="13.5" hidden="false" customHeight="true" outlineLevel="0" collapsed="false">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ustomFormat="false" ht="13.5" hidden="false" customHeight="true" outlineLevel="0" collapsed="false">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ustomFormat="false" ht="13.5" hidden="false" customHeight="true" outlineLevel="0" collapsed="false">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ustomFormat="false" ht="13.5" hidden="false" customHeight="true" outlineLevel="0" collapsed="false">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ustomFormat="false" ht="13.5" hidden="false" customHeight="true" outlineLevel="0" collapsed="false">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ustomFormat="false" ht="13.5" hidden="false" customHeight="true" outlineLevel="0" collapsed="false">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ustomFormat="false" ht="13.5" hidden="false" customHeight="true" outlineLevel="0" collapsed="false">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ustomFormat="false" ht="13.5" hidden="false" customHeight="true" outlineLevel="0" collapsed="false">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ustomFormat="false" ht="13.5" hidden="false" customHeight="true" outlineLevel="0" collapsed="false">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ustomFormat="false" ht="13.5" hidden="false" customHeight="true" outlineLevel="0" collapsed="false">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ustomFormat="false" ht="13.5" hidden="false" customHeight="true" outlineLevel="0" collapsed="false">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ustomFormat="false" ht="13.5" hidden="false" customHeight="true" outlineLevel="0" collapsed="false">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ustomFormat="false" ht="13.5" hidden="false" customHeight="true" outlineLevel="0" collapsed="false">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ustomFormat="false" ht="13.5" hidden="false" customHeight="true" outlineLevel="0" collapsed="false">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ustomFormat="false" ht="13.5" hidden="false" customHeight="true" outlineLevel="0" collapsed="false">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ustomFormat="false" ht="13.5" hidden="false" customHeight="true" outlineLevel="0" collapsed="false">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ustomFormat="false" ht="13.5" hidden="false" customHeight="true" outlineLevel="0" collapsed="false">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ustomFormat="false" ht="13.5" hidden="false" customHeight="true" outlineLevel="0" collapsed="false">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ustomFormat="false" ht="13.5" hidden="false" customHeight="true" outlineLevel="0" collapsed="false">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ustomFormat="false" ht="13.5" hidden="false" customHeight="true" outlineLevel="0" collapsed="false">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ustomFormat="false" ht="13.5" hidden="false" customHeight="true" outlineLevel="0" collapsed="false">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ustomFormat="false" ht="13.5" hidden="false" customHeight="true" outlineLevel="0" collapsed="false">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ustomFormat="false" ht="13.5" hidden="false" customHeight="true" outlineLevel="0" collapsed="false">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ustomFormat="false" ht="13.5" hidden="false" customHeight="true" outlineLevel="0" collapsed="false">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ustomFormat="false" ht="13.5" hidden="false" customHeight="true" outlineLevel="0" collapsed="false">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ustomFormat="false" ht="13.5" hidden="false" customHeight="true" outlineLevel="0" collapsed="false">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ustomFormat="false" ht="13.5" hidden="false" customHeight="true" outlineLevel="0" collapsed="false">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ustomFormat="false" ht="13.5" hidden="false" customHeight="true" outlineLevel="0" collapsed="false">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ustomFormat="false" ht="13.5" hidden="false" customHeight="true" outlineLevel="0" collapsed="false">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ustomFormat="false" ht="13.5" hidden="false" customHeight="true" outlineLevel="0" collapsed="false">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ustomFormat="false" ht="13.5" hidden="false" customHeight="true" outlineLevel="0" collapsed="false">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ustomFormat="false" ht="13.5" hidden="false" customHeight="true" outlineLevel="0" collapsed="false">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ustomFormat="false" ht="13.5" hidden="false" customHeight="true" outlineLevel="0" collapsed="false">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ustomFormat="false" ht="13.5" hidden="false" customHeight="true" outlineLevel="0" collapsed="false">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ustomFormat="false" ht="13.5" hidden="false" customHeight="true" outlineLevel="0" collapsed="false">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ustomFormat="false" ht="13.5" hidden="false" customHeight="true" outlineLevel="0" collapsed="false">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ustomFormat="false" ht="13.5" hidden="false" customHeight="true" outlineLevel="0" collapsed="false">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ustomFormat="false" ht="13.5" hidden="false" customHeight="true" outlineLevel="0" collapsed="false">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ustomFormat="false" ht="13.5" hidden="false" customHeight="true" outlineLevel="0" collapsed="false">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ustomFormat="false" ht="13.5" hidden="false" customHeight="true" outlineLevel="0" collapsed="false">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ustomFormat="false" ht="13.5" hidden="false" customHeight="true" outlineLevel="0" collapsed="false">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ustomFormat="false" ht="13.5" hidden="false" customHeight="true" outlineLevel="0" collapsed="false">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ustomFormat="false" ht="13.5" hidden="false" customHeight="true" outlineLevel="0" collapsed="false">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ustomFormat="false" ht="13.5" hidden="false" customHeight="true" outlineLevel="0" collapsed="false">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ustomFormat="false" ht="13.5" hidden="false" customHeight="true" outlineLevel="0" collapsed="false">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ustomFormat="false" ht="13.5" hidden="false" customHeight="true" outlineLevel="0" collapsed="false">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ustomFormat="false" ht="13.5" hidden="false" customHeight="true" outlineLevel="0" collapsed="false">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ustomFormat="false" ht="13.5" hidden="false" customHeight="true" outlineLevel="0" collapsed="false">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ustomFormat="false" ht="13.5" hidden="false" customHeight="true" outlineLevel="0" collapsed="false">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ustomFormat="false" ht="13.5" hidden="false" customHeight="true" outlineLevel="0" collapsed="false">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ustomFormat="false" ht="13.5" hidden="false" customHeight="true" outlineLevel="0" collapsed="false">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ustomFormat="false" ht="13.5" hidden="false" customHeight="true" outlineLevel="0" collapsed="false">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ustomFormat="false" ht="13.5" hidden="false" customHeight="true" outlineLevel="0" collapsed="false">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ustomFormat="false" ht="13.5" hidden="false" customHeight="true" outlineLevel="0" collapsed="false">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ustomFormat="false" ht="13.5" hidden="false" customHeight="true" outlineLevel="0" collapsed="false">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ustomFormat="false" ht="13.5" hidden="false" customHeight="true" outlineLevel="0" collapsed="false">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ustomFormat="false" ht="13.5" hidden="false" customHeight="true" outlineLevel="0" collapsed="false">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ustomFormat="false" ht="13.5" hidden="false" customHeight="true" outlineLevel="0" collapsed="false">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ustomFormat="false" ht="13.5" hidden="false" customHeight="true" outlineLevel="0" collapsed="false">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ustomFormat="false" ht="13.5" hidden="false" customHeight="true" outlineLevel="0" collapsed="false">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ustomFormat="false" ht="13.5" hidden="false" customHeight="true" outlineLevel="0" collapsed="false">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ustomFormat="false" ht="13.5" hidden="false" customHeight="true" outlineLevel="0" collapsed="false">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ustomFormat="false" ht="13.5" hidden="false" customHeight="true" outlineLevel="0" collapsed="false">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ustomFormat="false" ht="13.5" hidden="false" customHeight="true" outlineLevel="0" collapsed="false">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ustomFormat="false" ht="13.5" hidden="false" customHeight="true" outlineLevel="0" collapsed="false">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ustomFormat="false" ht="13.5" hidden="false" customHeight="true" outlineLevel="0" collapsed="false">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ustomFormat="false" ht="13.5" hidden="false" customHeight="true" outlineLevel="0" collapsed="false">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ustomFormat="false" ht="13.5" hidden="false" customHeight="true" outlineLevel="0" collapsed="false">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ustomFormat="false" ht="13.5" hidden="false" customHeight="true" outlineLevel="0" collapsed="false">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ustomFormat="false" ht="13.5" hidden="false" customHeight="true" outlineLevel="0" collapsed="false">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ustomFormat="false" ht="13.5" hidden="false" customHeight="true" outlineLevel="0" collapsed="false">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ustomFormat="false" ht="13.5" hidden="false" customHeight="true" outlineLevel="0" collapsed="false">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ustomFormat="false" ht="13.5" hidden="false" customHeight="true" outlineLevel="0" collapsed="false">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ustomFormat="false" ht="13.5" hidden="false" customHeight="true" outlineLevel="0" collapsed="false">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ustomFormat="false" ht="13.5" hidden="false" customHeight="true" outlineLevel="0" collapsed="false">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ustomFormat="false" ht="13.5" hidden="false" customHeight="true" outlineLevel="0" collapsed="false">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ustomFormat="false" ht="13.5" hidden="false" customHeight="true" outlineLevel="0" collapsed="false">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ustomFormat="false" ht="13.5" hidden="false" customHeight="true" outlineLevel="0" collapsed="false">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ustomFormat="false" ht="13.5" hidden="false" customHeight="true" outlineLevel="0" collapsed="false">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ustomFormat="false" ht="13.5" hidden="false" customHeight="true" outlineLevel="0" collapsed="false">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ustomFormat="false" ht="13.5" hidden="false" customHeight="true" outlineLevel="0" collapsed="false">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ustomFormat="false" ht="13.5" hidden="false" customHeight="true" outlineLevel="0" collapsed="false">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ustomFormat="false" ht="13.5" hidden="false" customHeight="true" outlineLevel="0" collapsed="false">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ustomFormat="false" ht="13.5" hidden="false" customHeight="true" outlineLevel="0" collapsed="false">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ustomFormat="false" ht="13.5" hidden="false" customHeight="true" outlineLevel="0" collapsed="false">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ustomFormat="false" ht="13.5" hidden="false" customHeight="true" outlineLevel="0" collapsed="false">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ustomFormat="false" ht="13.5" hidden="false" customHeight="true" outlineLevel="0" collapsed="false">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ustomFormat="false" ht="13.5" hidden="false" customHeight="true" outlineLevel="0" collapsed="false">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ustomFormat="false" ht="13.5" hidden="false" customHeight="true" outlineLevel="0" collapsed="false">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ustomFormat="false" ht="13.5" hidden="false" customHeight="true" outlineLevel="0" collapsed="false">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ustomFormat="false" ht="13.5" hidden="false" customHeight="true" outlineLevel="0" collapsed="false">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ustomFormat="false" ht="13.5" hidden="false" customHeight="true" outlineLevel="0" collapsed="false">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ustomFormat="false" ht="13.5" hidden="false" customHeight="true" outlineLevel="0" collapsed="false">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ustomFormat="false" ht="13.5" hidden="false" customHeight="true" outlineLevel="0" collapsed="false">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ustomFormat="false" ht="13.5" hidden="false" customHeight="true" outlineLevel="0" collapsed="false">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ustomFormat="false" ht="13.5" hidden="false" customHeight="true" outlineLevel="0" collapsed="false">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ustomFormat="false" ht="13.5" hidden="false" customHeight="true" outlineLevel="0" collapsed="false">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ustomFormat="false" ht="13.5" hidden="false" customHeight="true" outlineLevel="0" collapsed="false">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ustomFormat="false" ht="13.5" hidden="false" customHeight="true" outlineLevel="0" collapsed="false">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ustomFormat="false" ht="13.5" hidden="false" customHeight="true" outlineLevel="0" collapsed="false">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ustomFormat="false" ht="13.5" hidden="false" customHeight="true" outlineLevel="0" collapsed="false">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ustomFormat="false" ht="13.5" hidden="false" customHeight="true" outlineLevel="0" collapsed="false">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ustomFormat="false" ht="13.5" hidden="false" customHeight="true" outlineLevel="0" collapsed="false">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ustomFormat="false" ht="13.5" hidden="false" customHeight="true" outlineLevel="0" collapsed="false">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ustomFormat="false" ht="13.5" hidden="false" customHeight="true" outlineLevel="0" collapsed="false">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ustomFormat="false" ht="13.5" hidden="false" customHeight="true" outlineLevel="0" collapsed="false">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ustomFormat="false" ht="13.5" hidden="false" customHeight="true" outlineLevel="0" collapsed="false">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ustomFormat="false" ht="13.5" hidden="false" customHeight="true" outlineLevel="0" collapsed="false">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ustomFormat="false" ht="13.5" hidden="false" customHeight="true" outlineLevel="0" collapsed="false">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ustomFormat="false" ht="13.5" hidden="false" customHeight="true" outlineLevel="0" collapsed="false">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ustomFormat="false" ht="13.5" hidden="false" customHeight="true" outlineLevel="0" collapsed="false">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ustomFormat="false" ht="13.5" hidden="false" customHeight="true" outlineLevel="0" collapsed="false">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ustomFormat="false" ht="13.5" hidden="false" customHeight="true" outlineLevel="0" collapsed="false">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ustomFormat="false" ht="13.5" hidden="false" customHeight="true" outlineLevel="0" collapsed="false">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ustomFormat="false" ht="13.5" hidden="false" customHeight="true" outlineLevel="0" collapsed="false">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ustomFormat="false" ht="13.5" hidden="false" customHeight="true" outlineLevel="0" collapsed="false">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ustomFormat="false" ht="13.5" hidden="false" customHeight="true" outlineLevel="0" collapsed="false">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ustomFormat="false" ht="13.5" hidden="false" customHeight="true" outlineLevel="0" collapsed="false">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ustomFormat="false" ht="13.5" hidden="false" customHeight="true" outlineLevel="0" collapsed="false">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ustomFormat="false" ht="13.5" hidden="false" customHeight="true" outlineLevel="0" collapsed="false">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ustomFormat="false" ht="13.5" hidden="false" customHeight="true" outlineLevel="0" collapsed="false">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ustomFormat="false" ht="13.5" hidden="false" customHeight="true" outlineLevel="0" collapsed="false">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ustomFormat="false" ht="13.5" hidden="false" customHeight="true" outlineLevel="0" collapsed="false">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ustomFormat="false" ht="13.5" hidden="false" customHeight="true" outlineLevel="0" collapsed="false">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ustomFormat="false" ht="13.5" hidden="false" customHeight="true" outlineLevel="0" collapsed="false">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ustomFormat="false" ht="13.5" hidden="false" customHeight="true" outlineLevel="0" collapsed="false">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ustomFormat="false" ht="13.5" hidden="false" customHeight="true" outlineLevel="0" collapsed="false">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ustomFormat="false" ht="13.5" hidden="false" customHeight="true" outlineLevel="0" collapsed="false">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ustomFormat="false" ht="13.5" hidden="false" customHeight="true" outlineLevel="0" collapsed="false">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ustomFormat="false" ht="13.5" hidden="false" customHeight="true" outlineLevel="0" collapsed="false">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ustomFormat="false" ht="13.5" hidden="false" customHeight="true" outlineLevel="0" collapsed="false">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ustomFormat="false" ht="13.5" hidden="false" customHeight="true" outlineLevel="0" collapsed="false">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ustomFormat="false" ht="13.5" hidden="false" customHeight="true" outlineLevel="0" collapsed="false">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ustomFormat="false" ht="13.5" hidden="false" customHeight="true" outlineLevel="0" collapsed="false">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ustomFormat="false" ht="13.5" hidden="false" customHeight="true" outlineLevel="0" collapsed="false">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ustomFormat="false" ht="13.5" hidden="false" customHeight="true" outlineLevel="0" collapsed="false">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ustomFormat="false" ht="13.5" hidden="false" customHeight="true" outlineLevel="0" collapsed="false">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ustomFormat="false" ht="13.5" hidden="false" customHeight="true" outlineLevel="0" collapsed="false">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ustomFormat="false" ht="13.5" hidden="false" customHeight="true" outlineLevel="0" collapsed="false">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ustomFormat="false" ht="13.5" hidden="false" customHeight="true" outlineLevel="0" collapsed="false">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ustomFormat="false" ht="13.5" hidden="false" customHeight="true" outlineLevel="0" collapsed="false">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ustomFormat="false" ht="13.5" hidden="false" customHeight="true" outlineLevel="0" collapsed="false">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ustomFormat="false" ht="13.5" hidden="false" customHeight="true" outlineLevel="0" collapsed="false">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ustomFormat="false" ht="13.5" hidden="false" customHeight="true" outlineLevel="0" collapsed="false">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ustomFormat="false" ht="13.5" hidden="false" customHeight="true" outlineLevel="0" collapsed="false">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ustomFormat="false" ht="13.5" hidden="false" customHeight="true" outlineLevel="0" collapsed="false">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ustomFormat="false" ht="13.5" hidden="false" customHeight="true" outlineLevel="0" collapsed="false">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ustomFormat="false" ht="13.5" hidden="false" customHeight="true" outlineLevel="0" collapsed="false">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ustomFormat="false" ht="13.5" hidden="false" customHeight="true" outlineLevel="0" collapsed="false">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ustomFormat="false" ht="13.5" hidden="false" customHeight="true" outlineLevel="0" collapsed="false">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ustomFormat="false" ht="13.5" hidden="false" customHeight="true" outlineLevel="0" collapsed="false">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ustomFormat="false" ht="13.5" hidden="false" customHeight="true" outlineLevel="0" collapsed="false">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ustomFormat="false" ht="13.5" hidden="false" customHeight="true" outlineLevel="0" collapsed="false">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ustomFormat="false" ht="13.5" hidden="false" customHeight="true" outlineLevel="0" collapsed="false">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ustomFormat="false" ht="13.5" hidden="false" customHeight="true" outlineLevel="0" collapsed="false">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ustomFormat="false" ht="13.5" hidden="false" customHeight="true" outlineLevel="0" collapsed="false">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ustomFormat="false" ht="13.5" hidden="false" customHeight="true" outlineLevel="0" collapsed="false">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ustomFormat="false" ht="13.5" hidden="false" customHeight="true" outlineLevel="0" collapsed="false">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ustomFormat="false" ht="13.5" hidden="false" customHeight="true" outlineLevel="0" collapsed="false">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ustomFormat="false" ht="13.5" hidden="false" customHeight="true" outlineLevel="0" collapsed="false">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ustomFormat="false" ht="13.5" hidden="false" customHeight="true" outlineLevel="0" collapsed="false">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ustomFormat="false" ht="13.5" hidden="false" customHeight="true" outlineLevel="0" collapsed="false">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ustomFormat="false" ht="13.5" hidden="false" customHeight="true" outlineLevel="0" collapsed="false">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ustomFormat="false" ht="13.5" hidden="false" customHeight="true" outlineLevel="0" collapsed="false">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ustomFormat="false" ht="13.5" hidden="false" customHeight="true" outlineLevel="0" collapsed="false">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ustomFormat="false" ht="13.5" hidden="false" customHeight="true" outlineLevel="0" collapsed="false">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ustomFormat="false" ht="13.5" hidden="false" customHeight="true" outlineLevel="0" collapsed="false">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ustomFormat="false" ht="13.5" hidden="false" customHeight="true" outlineLevel="0" collapsed="false">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ustomFormat="false" ht="13.5" hidden="false" customHeight="true" outlineLevel="0" collapsed="false">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ustomFormat="false" ht="13.5" hidden="false" customHeight="true" outlineLevel="0" collapsed="false">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ustomFormat="false" ht="13.5" hidden="false" customHeight="true" outlineLevel="0" collapsed="false">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ustomFormat="false" ht="13.5" hidden="false" customHeight="true" outlineLevel="0" collapsed="false">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ustomFormat="false" ht="13.5" hidden="false" customHeight="true" outlineLevel="0" collapsed="false">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ustomFormat="false" ht="13.5" hidden="false" customHeight="true" outlineLevel="0" collapsed="false">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ustomFormat="false" ht="13.5" hidden="false" customHeight="true" outlineLevel="0" collapsed="false">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ustomFormat="false" ht="13.5" hidden="false" customHeight="true" outlineLevel="0" collapsed="false">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ustomFormat="false" ht="13.5" hidden="false" customHeight="true" outlineLevel="0" collapsed="false">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ustomFormat="false" ht="13.5" hidden="false" customHeight="true" outlineLevel="0" collapsed="false">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ustomFormat="false" ht="13.5" hidden="false" customHeight="true" outlineLevel="0" collapsed="false">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ustomFormat="false" ht="13.5" hidden="false" customHeight="true" outlineLevel="0" collapsed="false">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ustomFormat="false" ht="13.5" hidden="false" customHeight="true" outlineLevel="0" collapsed="false">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ustomFormat="false" ht="13.5" hidden="false" customHeight="true" outlineLevel="0" collapsed="false">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ustomFormat="false" ht="13.5" hidden="false" customHeight="true" outlineLevel="0" collapsed="false">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ustomFormat="false" ht="13.5" hidden="false" customHeight="true" outlineLevel="0" collapsed="false">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ustomFormat="false" ht="13.5" hidden="false" customHeight="true" outlineLevel="0" collapsed="false">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ustomFormat="false" ht="13.5" hidden="false" customHeight="true" outlineLevel="0" collapsed="false">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ustomFormat="false" ht="13.5" hidden="false" customHeight="true" outlineLevel="0" collapsed="false">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ustomFormat="false" ht="13.5" hidden="false" customHeight="true" outlineLevel="0" collapsed="false">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ustomFormat="false" ht="13.5" hidden="false" customHeight="true" outlineLevel="0" collapsed="false">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ustomFormat="false" ht="13.5" hidden="false" customHeight="true" outlineLevel="0" collapsed="false">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ustomFormat="false" ht="13.5" hidden="false" customHeight="true" outlineLevel="0" collapsed="false">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ustomFormat="false" ht="13.5" hidden="false" customHeight="true" outlineLevel="0" collapsed="false">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ustomFormat="false" ht="13.5" hidden="false" customHeight="true" outlineLevel="0" collapsed="false">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ustomFormat="false" ht="13.5" hidden="false" customHeight="true" outlineLevel="0" collapsed="false">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ustomFormat="false" ht="13.5" hidden="false" customHeight="true" outlineLevel="0" collapsed="false">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ustomFormat="false" ht="13.5" hidden="false" customHeight="true" outlineLevel="0" collapsed="false">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ustomFormat="false" ht="13.5" hidden="false" customHeight="true" outlineLevel="0" collapsed="false">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ustomFormat="false" ht="13.5" hidden="false" customHeight="true" outlineLevel="0" collapsed="false">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ustomFormat="false" ht="13.5" hidden="false" customHeight="true" outlineLevel="0" collapsed="false">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ustomFormat="false" ht="13.5" hidden="false" customHeight="true" outlineLevel="0" collapsed="false">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ustomFormat="false" ht="13.5" hidden="false" customHeight="true" outlineLevel="0" collapsed="false">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ustomFormat="false" ht="13.5" hidden="false" customHeight="true" outlineLevel="0" collapsed="false">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ustomFormat="false" ht="13.5" hidden="false" customHeight="true" outlineLevel="0" collapsed="false">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ustomFormat="false" ht="13.5" hidden="false" customHeight="true" outlineLevel="0" collapsed="false">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ustomFormat="false" ht="13.5" hidden="false" customHeight="true" outlineLevel="0" collapsed="false">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ustomFormat="false" ht="13.5" hidden="false" customHeight="true" outlineLevel="0" collapsed="false">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ustomFormat="false" ht="13.5" hidden="false" customHeight="true" outlineLevel="0" collapsed="false">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ustomFormat="false" ht="13.5" hidden="false" customHeight="true" outlineLevel="0" collapsed="false">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ustomFormat="false" ht="13.5" hidden="false" customHeight="true" outlineLevel="0" collapsed="false">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ustomFormat="false" ht="13.5" hidden="false" customHeight="true" outlineLevel="0" collapsed="false">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ustomFormat="false" ht="13.5" hidden="false" customHeight="true" outlineLevel="0" collapsed="false">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ustomFormat="false" ht="13.5" hidden="false" customHeight="true" outlineLevel="0" collapsed="false">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ustomFormat="false" ht="13.5" hidden="false" customHeight="true" outlineLevel="0" collapsed="false">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ustomFormat="false" ht="13.5" hidden="false" customHeight="true" outlineLevel="0" collapsed="false">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ustomFormat="false" ht="13.5" hidden="false" customHeight="true" outlineLevel="0" collapsed="false">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ustomFormat="false" ht="13.5" hidden="false" customHeight="true" outlineLevel="0" collapsed="false">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ustomFormat="false" ht="13.5" hidden="false" customHeight="true" outlineLevel="0" collapsed="false">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ustomFormat="false" ht="13.5" hidden="false" customHeight="true" outlineLevel="0" collapsed="false">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ustomFormat="false" ht="13.5" hidden="false" customHeight="true" outlineLevel="0" collapsed="false">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ustomFormat="false" ht="13.5" hidden="false" customHeight="true" outlineLevel="0" collapsed="false">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ustomFormat="false" ht="13.5" hidden="false" customHeight="true" outlineLevel="0" collapsed="false">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ustomFormat="false" ht="13.5" hidden="false" customHeight="true" outlineLevel="0" collapsed="false">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ustomFormat="false" ht="13.5" hidden="false" customHeight="true" outlineLevel="0" collapsed="false">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ustomFormat="false" ht="13.5" hidden="false" customHeight="true" outlineLevel="0" collapsed="false">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ustomFormat="false" ht="13.5" hidden="false" customHeight="true" outlineLevel="0" collapsed="false">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ustomFormat="false" ht="13.5" hidden="false" customHeight="true" outlineLevel="0" collapsed="false">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ustomFormat="false" ht="13.5" hidden="false" customHeight="true" outlineLevel="0" collapsed="false">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ustomFormat="false" ht="13.5" hidden="false" customHeight="true" outlineLevel="0" collapsed="false">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ustomFormat="false" ht="13.5" hidden="false" customHeight="true" outlineLevel="0" collapsed="false">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ustomFormat="false" ht="13.5" hidden="false" customHeight="true" outlineLevel="0" collapsed="false">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ustomFormat="false" ht="13.5" hidden="false" customHeight="true" outlineLevel="0" collapsed="false">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ustomFormat="false" ht="13.5" hidden="false" customHeight="true" outlineLevel="0" collapsed="false">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ustomFormat="false" ht="13.5" hidden="false" customHeight="true" outlineLevel="0" collapsed="false">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ustomFormat="false" ht="13.5" hidden="false" customHeight="true" outlineLevel="0" collapsed="false">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ustomFormat="false" ht="13.5" hidden="false" customHeight="true" outlineLevel="0" collapsed="false">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ustomFormat="false" ht="13.5" hidden="false" customHeight="true" outlineLevel="0" collapsed="false">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ustomFormat="false" ht="13.5" hidden="false" customHeight="true" outlineLevel="0" collapsed="false">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ustomFormat="false" ht="13.5" hidden="false" customHeight="true" outlineLevel="0" collapsed="false">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ustomFormat="false" ht="13.5" hidden="false" customHeight="true" outlineLevel="0" collapsed="false">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ustomFormat="false" ht="13.5" hidden="false" customHeight="true" outlineLevel="0" collapsed="false">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ustomFormat="false" ht="13.5" hidden="false" customHeight="true" outlineLevel="0" collapsed="false">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ustomFormat="false" ht="13.5" hidden="false" customHeight="true" outlineLevel="0" collapsed="false">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ustomFormat="false" ht="13.5" hidden="false" customHeight="true" outlineLevel="0" collapsed="false">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ustomFormat="false" ht="13.5" hidden="false" customHeight="true" outlineLevel="0" collapsed="false">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ustomFormat="false" ht="13.5" hidden="false" customHeight="true" outlineLevel="0" collapsed="false">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ustomFormat="false" ht="13.5" hidden="false" customHeight="true" outlineLevel="0" collapsed="false">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ustomFormat="false" ht="13.5" hidden="false" customHeight="true" outlineLevel="0" collapsed="false">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ustomFormat="false" ht="13.5" hidden="false" customHeight="true" outlineLevel="0" collapsed="false">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ustomFormat="false" ht="13.5" hidden="false" customHeight="true" outlineLevel="0" collapsed="false">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ustomFormat="false" ht="13.5" hidden="false" customHeight="true" outlineLevel="0" collapsed="false">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ustomFormat="false" ht="13.5" hidden="false" customHeight="true" outlineLevel="0" collapsed="false">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ustomFormat="false" ht="13.5" hidden="false" customHeight="true" outlineLevel="0" collapsed="false">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ustomFormat="false" ht="13.5" hidden="false" customHeight="true" outlineLevel="0" collapsed="false">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ustomFormat="false" ht="13.5" hidden="false" customHeight="true" outlineLevel="0" collapsed="false">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ustomFormat="false" ht="13.5" hidden="false" customHeight="true" outlineLevel="0" collapsed="false">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ustomFormat="false" ht="13.5" hidden="false" customHeight="true" outlineLevel="0" collapsed="false">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ustomFormat="false" ht="13.5" hidden="false" customHeight="true" outlineLevel="0" collapsed="false">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ustomFormat="false" ht="13.5" hidden="false" customHeight="true" outlineLevel="0" collapsed="false">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ustomFormat="false" ht="13.5" hidden="false" customHeight="true" outlineLevel="0" collapsed="false">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ustomFormat="false" ht="13.5" hidden="false" customHeight="true" outlineLevel="0" collapsed="false">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ustomFormat="false" ht="13.5" hidden="false" customHeight="true" outlineLevel="0" collapsed="false">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ustomFormat="false" ht="13.5" hidden="false" customHeight="true" outlineLevel="0" collapsed="false">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ustomFormat="false" ht="13.5" hidden="false" customHeight="true" outlineLevel="0" collapsed="false">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ustomFormat="false" ht="13.5" hidden="false" customHeight="true" outlineLevel="0" collapsed="false">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ustomFormat="false" ht="13.5" hidden="false" customHeight="true" outlineLevel="0" collapsed="false">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ustomFormat="false" ht="13.5" hidden="false" customHeight="true" outlineLevel="0" collapsed="false">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ustomFormat="false" ht="13.5" hidden="false" customHeight="true" outlineLevel="0" collapsed="false">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ustomFormat="false" ht="13.5" hidden="false" customHeight="true" outlineLevel="0" collapsed="false">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ustomFormat="false" ht="13.5" hidden="false" customHeight="true" outlineLevel="0" collapsed="false">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ustomFormat="false" ht="13.5" hidden="false" customHeight="true" outlineLevel="0" collapsed="false">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ustomFormat="false" ht="13.5" hidden="false" customHeight="true" outlineLevel="0" collapsed="false">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ustomFormat="false" ht="13.5" hidden="false" customHeight="true" outlineLevel="0" collapsed="false">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ustomFormat="false" ht="13.5" hidden="false" customHeight="true" outlineLevel="0" collapsed="false">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ustomFormat="false" ht="13.5" hidden="false" customHeight="true" outlineLevel="0" collapsed="false">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ustomFormat="false" ht="13.5" hidden="false" customHeight="true" outlineLevel="0" collapsed="false">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ustomFormat="false" ht="13.5" hidden="false" customHeight="true" outlineLevel="0" collapsed="false">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ustomFormat="false" ht="13.5" hidden="false" customHeight="true" outlineLevel="0" collapsed="false">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ustomFormat="false" ht="13.5" hidden="false" customHeight="true" outlineLevel="0" collapsed="false">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ustomFormat="false" ht="13.5" hidden="false" customHeight="true" outlineLevel="0" collapsed="false">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ustomFormat="false" ht="13.5" hidden="false" customHeight="true" outlineLevel="0" collapsed="false">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ustomFormat="false" ht="13.5" hidden="false" customHeight="true" outlineLevel="0" collapsed="false">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ustomFormat="false" ht="13.5" hidden="false" customHeight="true" outlineLevel="0" collapsed="false">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ustomFormat="false" ht="13.5" hidden="false" customHeight="true" outlineLevel="0" collapsed="false">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ustomFormat="false" ht="13.5" hidden="false" customHeight="true" outlineLevel="0" collapsed="false">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ustomFormat="false" ht="13.5" hidden="false" customHeight="true" outlineLevel="0" collapsed="false">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ustomFormat="false" ht="13.5" hidden="false" customHeight="true" outlineLevel="0" collapsed="false">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ustomFormat="false" ht="13.5" hidden="false" customHeight="true" outlineLevel="0" collapsed="false">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ustomFormat="false" ht="13.5" hidden="false" customHeight="true" outlineLevel="0" collapsed="false">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ustomFormat="false" ht="13.5" hidden="false" customHeight="true" outlineLevel="0" collapsed="false">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ustomFormat="false" ht="13.5" hidden="false" customHeight="true" outlineLevel="0" collapsed="false">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ustomFormat="false" ht="13.5" hidden="false" customHeight="true" outlineLevel="0" collapsed="false">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ustomFormat="false" ht="13.5" hidden="false" customHeight="true" outlineLevel="0" collapsed="false">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ustomFormat="false" ht="13.5" hidden="false" customHeight="true" outlineLevel="0" collapsed="false">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ustomFormat="false" ht="13.5" hidden="false" customHeight="true" outlineLevel="0" collapsed="false">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ustomFormat="false" ht="13.5" hidden="false" customHeight="true" outlineLevel="0" collapsed="false">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ustomFormat="false" ht="13.5" hidden="false" customHeight="true" outlineLevel="0" collapsed="false">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ustomFormat="false" ht="13.5" hidden="false" customHeight="true" outlineLevel="0" collapsed="false">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ustomFormat="false" ht="13.5" hidden="false" customHeight="true" outlineLevel="0" collapsed="false">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ustomFormat="false" ht="13.5" hidden="false" customHeight="true" outlineLevel="0" collapsed="false">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ustomFormat="false" ht="13.5" hidden="false" customHeight="true" outlineLevel="0" collapsed="false">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ustomFormat="false" ht="13.5" hidden="false" customHeight="true" outlineLevel="0" collapsed="false">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ustomFormat="false" ht="13.5" hidden="false" customHeight="true" outlineLevel="0" collapsed="false">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ustomFormat="false" ht="13.5" hidden="false" customHeight="true" outlineLevel="0" collapsed="false">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ustomFormat="false" ht="13.5" hidden="false" customHeight="true" outlineLevel="0" collapsed="false">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ustomFormat="false" ht="13.5" hidden="false" customHeight="true" outlineLevel="0" collapsed="false">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ustomFormat="false" ht="13.5" hidden="false" customHeight="true" outlineLevel="0" collapsed="false">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ustomFormat="false" ht="13.5" hidden="false" customHeight="true" outlineLevel="0" collapsed="false">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ustomFormat="false" ht="13.5" hidden="false" customHeight="true" outlineLevel="0" collapsed="false">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ustomFormat="false" ht="13.5" hidden="false" customHeight="true" outlineLevel="0" collapsed="false">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ustomFormat="false" ht="13.5" hidden="false" customHeight="true" outlineLevel="0" collapsed="false">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ustomFormat="false" ht="13.5" hidden="false" customHeight="true" outlineLevel="0" collapsed="false">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ustomFormat="false" ht="13.5" hidden="false" customHeight="true" outlineLevel="0" collapsed="false">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ustomFormat="false" ht="13.5" hidden="false" customHeight="true" outlineLevel="0" collapsed="false">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ustomFormat="false" ht="13.5" hidden="false" customHeight="true" outlineLevel="0" collapsed="false">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ustomFormat="false" ht="13.5" hidden="false" customHeight="true" outlineLevel="0" collapsed="false">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ustomFormat="false" ht="13.5" hidden="false" customHeight="true" outlineLevel="0" collapsed="false">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ustomFormat="false" ht="13.5" hidden="false" customHeight="true" outlineLevel="0" collapsed="false">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ustomFormat="false" ht="13.5" hidden="false" customHeight="true" outlineLevel="0" collapsed="false">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ustomFormat="false" ht="13.5" hidden="false" customHeight="true" outlineLevel="0" collapsed="false">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ustomFormat="false" ht="13.5" hidden="false" customHeight="true" outlineLevel="0" collapsed="false">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ustomFormat="false" ht="13.5" hidden="false" customHeight="true" outlineLevel="0" collapsed="false">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ustomFormat="false" ht="13.5" hidden="false" customHeight="true" outlineLevel="0" collapsed="false">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ustomFormat="false" ht="13.5" hidden="false" customHeight="true" outlineLevel="0" collapsed="false">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ustomFormat="false" ht="13.5" hidden="false" customHeight="true" outlineLevel="0" collapsed="false">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ustomFormat="false" ht="13.5" hidden="false" customHeight="true" outlineLevel="0" collapsed="false">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ustomFormat="false" ht="13.5" hidden="false" customHeight="true" outlineLevel="0" collapsed="false">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ustomFormat="false" ht="13.5" hidden="false" customHeight="true" outlineLevel="0" collapsed="false">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ustomFormat="false" ht="13.5" hidden="false" customHeight="true" outlineLevel="0" collapsed="false">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ustomFormat="false" ht="13.5" hidden="false" customHeight="true" outlineLevel="0" collapsed="false">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ustomFormat="false" ht="13.5" hidden="false" customHeight="true" outlineLevel="0" collapsed="false">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ustomFormat="false" ht="13.5" hidden="false" customHeight="true" outlineLevel="0" collapsed="false">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ustomFormat="false" ht="13.5" hidden="false" customHeight="true" outlineLevel="0" collapsed="false">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ustomFormat="false" ht="13.5" hidden="false" customHeight="true" outlineLevel="0" collapsed="false">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ustomFormat="false" ht="13.5" hidden="false" customHeight="true" outlineLevel="0" collapsed="false">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ustomFormat="false" ht="13.5" hidden="false" customHeight="true" outlineLevel="0" collapsed="false">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ustomFormat="false" ht="13.5" hidden="false" customHeight="true" outlineLevel="0" collapsed="false">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ustomFormat="false" ht="13.5" hidden="false" customHeight="true" outlineLevel="0" collapsed="false">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ustomFormat="false" ht="13.5" hidden="false" customHeight="true" outlineLevel="0" collapsed="false">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ustomFormat="false" ht="13.5" hidden="false" customHeight="true" outlineLevel="0" collapsed="false">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ustomFormat="false" ht="13.5" hidden="false" customHeight="true" outlineLevel="0" collapsed="false">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ustomFormat="false" ht="13.5" hidden="false" customHeight="true" outlineLevel="0" collapsed="false">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ustomFormat="false" ht="13.5" hidden="false" customHeight="true" outlineLevel="0" collapsed="false">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ustomFormat="false" ht="13.5" hidden="false" customHeight="true" outlineLevel="0" collapsed="false">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ustomFormat="false" ht="13.5" hidden="false" customHeight="true" outlineLevel="0" collapsed="false">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ustomFormat="false" ht="13.5" hidden="false" customHeight="true" outlineLevel="0" collapsed="false">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ustomFormat="false" ht="13.5" hidden="false" customHeight="true" outlineLevel="0" collapsed="false">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ustomFormat="false" ht="13.5" hidden="false" customHeight="true" outlineLevel="0" collapsed="false">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ustomFormat="false" ht="13.5" hidden="false" customHeight="true" outlineLevel="0" collapsed="false">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ustomFormat="false" ht="13.5" hidden="false" customHeight="true" outlineLevel="0" collapsed="false">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ustomFormat="false" ht="13.5" hidden="false" customHeight="true" outlineLevel="0" collapsed="false">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ustomFormat="false" ht="13.5" hidden="false" customHeight="true" outlineLevel="0" collapsed="false">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ustomFormat="false" ht="13.5" hidden="false" customHeight="true" outlineLevel="0" collapsed="false">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ustomFormat="false" ht="13.5" hidden="false" customHeight="true" outlineLevel="0" collapsed="false">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ustomFormat="false" ht="13.5" hidden="false" customHeight="true" outlineLevel="0" collapsed="false">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ustomFormat="false" ht="13.5" hidden="false" customHeight="true" outlineLevel="0" collapsed="false">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ustomFormat="false" ht="13.5" hidden="false" customHeight="true" outlineLevel="0" collapsed="false">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ustomFormat="false" ht="13.5" hidden="false" customHeight="true" outlineLevel="0" collapsed="false">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ustomFormat="false" ht="13.5" hidden="false" customHeight="true" outlineLevel="0" collapsed="false">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ustomFormat="false" ht="13.5" hidden="false" customHeight="true" outlineLevel="0" collapsed="false">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ustomFormat="false" ht="13.5" hidden="false" customHeight="true" outlineLevel="0" collapsed="false">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ustomFormat="false" ht="13.5" hidden="false" customHeight="true" outlineLevel="0" collapsed="false">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ustomFormat="false" ht="13.5" hidden="false" customHeight="true" outlineLevel="0" collapsed="false">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ustomFormat="false" ht="13.5" hidden="false" customHeight="true" outlineLevel="0" collapsed="false">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ustomFormat="false" ht="13.5" hidden="false" customHeight="true" outlineLevel="0" collapsed="false">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ustomFormat="false" ht="13.5" hidden="false" customHeight="true" outlineLevel="0" collapsed="false">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ustomFormat="false" ht="13.5" hidden="false" customHeight="true" outlineLevel="0" collapsed="false">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ustomFormat="false" ht="13.5" hidden="false" customHeight="true" outlineLevel="0" collapsed="false">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ustomFormat="false" ht="13.5" hidden="false" customHeight="true" outlineLevel="0" collapsed="false">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ustomFormat="false" ht="13.5" hidden="false" customHeight="true" outlineLevel="0" collapsed="false">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ustomFormat="false" ht="13.5" hidden="false" customHeight="true" outlineLevel="0" collapsed="false">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ustomFormat="false" ht="13.5" hidden="false" customHeight="true" outlineLevel="0" collapsed="false">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ustomFormat="false" ht="13.5" hidden="false" customHeight="true" outlineLevel="0" collapsed="false">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ustomFormat="false" ht="13.5" hidden="false" customHeight="true" outlineLevel="0" collapsed="false">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ustomFormat="false" ht="13.5" hidden="false" customHeight="true" outlineLevel="0" collapsed="false">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ustomFormat="false" ht="13.5" hidden="false" customHeight="true" outlineLevel="0" collapsed="false">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ustomFormat="false" ht="13.5" hidden="false" customHeight="true" outlineLevel="0" collapsed="false">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ustomFormat="false" ht="13.5" hidden="false" customHeight="true" outlineLevel="0" collapsed="false">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ustomFormat="false" ht="13.5" hidden="false" customHeight="true" outlineLevel="0" collapsed="false">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ustomFormat="false" ht="13.5" hidden="false" customHeight="true" outlineLevel="0" collapsed="false">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ustomFormat="false" ht="13.5" hidden="false" customHeight="true" outlineLevel="0" collapsed="false">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ustomFormat="false" ht="13.5" hidden="false" customHeight="true" outlineLevel="0" collapsed="false">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ustomFormat="false" ht="13.5" hidden="false" customHeight="true" outlineLevel="0" collapsed="false">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ustomFormat="false" ht="13.5" hidden="false" customHeight="true" outlineLevel="0" collapsed="false">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ustomFormat="false" ht="13.5" hidden="false" customHeight="true" outlineLevel="0" collapsed="false">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ustomFormat="false" ht="13.5" hidden="false" customHeight="true" outlineLevel="0" collapsed="false">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ustomFormat="false" ht="13.5" hidden="false" customHeight="true" outlineLevel="0" collapsed="false">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ustomFormat="false" ht="13.5" hidden="false" customHeight="true" outlineLevel="0" collapsed="false">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ustomFormat="false" ht="13.5" hidden="false" customHeight="true" outlineLevel="0" collapsed="false">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ustomFormat="false" ht="13.5" hidden="false" customHeight="true" outlineLevel="0" collapsed="false">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ustomFormat="false" ht="13.5" hidden="false" customHeight="true" outlineLevel="0" collapsed="false">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ustomFormat="false" ht="13.5" hidden="false" customHeight="true" outlineLevel="0" collapsed="false">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ustomFormat="false" ht="13.5" hidden="false" customHeight="true" outlineLevel="0" collapsed="false">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ustomFormat="false" ht="13.5" hidden="false" customHeight="true" outlineLevel="0" collapsed="false">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ustomFormat="false" ht="13.5" hidden="false" customHeight="true" outlineLevel="0" collapsed="false">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ustomFormat="false" ht="13.5" hidden="false" customHeight="true" outlineLevel="0" collapsed="false">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ustomFormat="false" ht="13.5" hidden="false" customHeight="true" outlineLevel="0" collapsed="false">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ustomFormat="false" ht="13.5" hidden="false" customHeight="true" outlineLevel="0" collapsed="false">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ustomFormat="false" ht="13.5" hidden="false" customHeight="true" outlineLevel="0" collapsed="false">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ustomFormat="false" ht="13.5" hidden="false" customHeight="true" outlineLevel="0" collapsed="false">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ustomFormat="false" ht="13.5" hidden="false" customHeight="true" outlineLevel="0" collapsed="false">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ustomFormat="false" ht="13.5" hidden="false" customHeight="true" outlineLevel="0" collapsed="false">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ustomFormat="false" ht="13.5" hidden="false" customHeight="true" outlineLevel="0" collapsed="false">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ustomFormat="false" ht="13.5" hidden="false" customHeight="true" outlineLevel="0" collapsed="false">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ustomFormat="false" ht="13.5" hidden="false" customHeight="true" outlineLevel="0" collapsed="false">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ustomFormat="false" ht="13.5" hidden="false" customHeight="true" outlineLevel="0" collapsed="false">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ustomFormat="false" ht="13.5" hidden="false" customHeight="true" outlineLevel="0" collapsed="false">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ustomFormat="false" ht="13.5" hidden="false" customHeight="true" outlineLevel="0" collapsed="false">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ustomFormat="false" ht="13.5" hidden="false" customHeight="true" outlineLevel="0" collapsed="false">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ustomFormat="false" ht="13.5" hidden="false" customHeight="true" outlineLevel="0" collapsed="false">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ustomFormat="false" ht="13.5" hidden="false" customHeight="true" outlineLevel="0" collapsed="false">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ustomFormat="false" ht="13.5" hidden="false" customHeight="true" outlineLevel="0" collapsed="false">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ustomFormat="false" ht="13.5" hidden="false" customHeight="true" outlineLevel="0" collapsed="false">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ustomFormat="false" ht="13.5" hidden="false" customHeight="true" outlineLevel="0" collapsed="false">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ustomFormat="false" ht="13.5" hidden="false" customHeight="true" outlineLevel="0" collapsed="false">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ustomFormat="false" ht="13.5" hidden="false" customHeight="true" outlineLevel="0" collapsed="false">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ustomFormat="false" ht="13.5" hidden="false" customHeight="true" outlineLevel="0" collapsed="false">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ustomFormat="false" ht="13.5" hidden="false" customHeight="true" outlineLevel="0" collapsed="false">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ustomFormat="false" ht="13.5" hidden="false" customHeight="true" outlineLevel="0" collapsed="false">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ustomFormat="false" ht="13.5" hidden="false" customHeight="true" outlineLevel="0" collapsed="false">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ustomFormat="false" ht="13.5" hidden="false" customHeight="true" outlineLevel="0" collapsed="false">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ustomFormat="false" ht="13.5" hidden="false" customHeight="true" outlineLevel="0" collapsed="false">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ustomFormat="false" ht="13.5" hidden="false" customHeight="true" outlineLevel="0" collapsed="false">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ustomFormat="false" ht="13.5" hidden="false" customHeight="true" outlineLevel="0" collapsed="false">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ustomFormat="false" ht="13.5" hidden="false" customHeight="true" outlineLevel="0" collapsed="false">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ustomFormat="false" ht="13.5" hidden="false" customHeight="true" outlineLevel="0" collapsed="false">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ustomFormat="false" ht="13.5" hidden="false" customHeight="true" outlineLevel="0" collapsed="false">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ustomFormat="false" ht="13.5" hidden="false" customHeight="true" outlineLevel="0" collapsed="false">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ustomFormat="false" ht="13.5" hidden="false" customHeight="true" outlineLevel="0" collapsed="false">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ustomFormat="false" ht="13.5" hidden="false" customHeight="true" outlineLevel="0" collapsed="false">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ustomFormat="false" ht="13.5" hidden="false" customHeight="true" outlineLevel="0" collapsed="false">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ustomFormat="false" ht="13.5" hidden="false" customHeight="true" outlineLevel="0" collapsed="false">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ustomFormat="false" ht="13.5" hidden="false" customHeight="true" outlineLevel="0" collapsed="false">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ustomFormat="false" ht="13.5" hidden="false" customHeight="true" outlineLevel="0" collapsed="false">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ustomFormat="false" ht="13.5" hidden="false" customHeight="true" outlineLevel="0" collapsed="false">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ustomFormat="false" ht="13.5" hidden="false" customHeight="true" outlineLevel="0" collapsed="false">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ustomFormat="false" ht="13.5" hidden="false" customHeight="true" outlineLevel="0" collapsed="false">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ustomFormat="false" ht="13.5" hidden="false" customHeight="true" outlineLevel="0" collapsed="false">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ustomFormat="false" ht="13.5" hidden="false" customHeight="true" outlineLevel="0" collapsed="false">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ustomFormat="false" ht="13.5" hidden="false" customHeight="true" outlineLevel="0" collapsed="false">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ustomFormat="false" ht="13.5" hidden="false" customHeight="true" outlineLevel="0" collapsed="false">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ustomFormat="false" ht="13.5" hidden="false" customHeight="true" outlineLevel="0" collapsed="false">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ustomFormat="false" ht="13.5" hidden="false" customHeight="true" outlineLevel="0" collapsed="false">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ustomFormat="false" ht="13.5" hidden="false" customHeight="true" outlineLevel="0" collapsed="false">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ustomFormat="false" ht="13.5" hidden="false" customHeight="true" outlineLevel="0" collapsed="false">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ustomFormat="false" ht="13.5" hidden="false" customHeight="true" outlineLevel="0" collapsed="false">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ustomFormat="false" ht="13.5" hidden="false" customHeight="true" outlineLevel="0" collapsed="false">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ustomFormat="false" ht="13.5" hidden="false" customHeight="true" outlineLevel="0" collapsed="false">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ustomFormat="false" ht="13.5" hidden="false" customHeight="true" outlineLevel="0" collapsed="false">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ustomFormat="false" ht="13.5" hidden="false" customHeight="true" outlineLevel="0" collapsed="false">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ustomFormat="false" ht="13.5" hidden="false" customHeight="true" outlineLevel="0" collapsed="false">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ustomFormat="false" ht="13.5" hidden="false" customHeight="true" outlineLevel="0" collapsed="false">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ustomFormat="false" ht="13.5" hidden="false" customHeight="true" outlineLevel="0" collapsed="false">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ustomFormat="false" ht="13.5" hidden="false" customHeight="true" outlineLevel="0" collapsed="false">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ustomFormat="false" ht="13.5" hidden="false" customHeight="true" outlineLevel="0" collapsed="false">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ustomFormat="false" ht="13.5" hidden="false" customHeight="true" outlineLevel="0" collapsed="false">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ustomFormat="false" ht="13.5" hidden="false" customHeight="true" outlineLevel="0" collapsed="false">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ustomFormat="false" ht="13.5" hidden="false" customHeight="true" outlineLevel="0" collapsed="false">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ustomFormat="false" ht="13.5" hidden="false" customHeight="true" outlineLevel="0" collapsed="false">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ustomFormat="false" ht="13.5" hidden="false" customHeight="true" outlineLevel="0" collapsed="false">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ustomFormat="false" ht="13.5" hidden="false" customHeight="true" outlineLevel="0" collapsed="false">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ustomFormat="false" ht="13.5" hidden="false" customHeight="true" outlineLevel="0" collapsed="false">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ustomFormat="false" ht="13.5" hidden="false" customHeight="true" outlineLevel="0" collapsed="false">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ustomFormat="false" ht="13.5" hidden="false" customHeight="true" outlineLevel="0" collapsed="false">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ustomFormat="false" ht="13.5" hidden="false" customHeight="true" outlineLevel="0" collapsed="false">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ustomFormat="false" ht="13.5" hidden="false" customHeight="true" outlineLevel="0" collapsed="false">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ustomFormat="false" ht="13.5" hidden="false" customHeight="true" outlineLevel="0" collapsed="false">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ustomFormat="false" ht="13.5" hidden="false" customHeight="true" outlineLevel="0" collapsed="false">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ustomFormat="false" ht="13.5" hidden="false" customHeight="true" outlineLevel="0" collapsed="false">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ustomFormat="false" ht="13.5" hidden="false" customHeight="true" outlineLevel="0" collapsed="false">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ustomFormat="false" ht="13.5" hidden="false" customHeight="true" outlineLevel="0" collapsed="false">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ustomFormat="false" ht="13.5" hidden="false" customHeight="true" outlineLevel="0" collapsed="false">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ustomFormat="false" ht="13.5" hidden="false" customHeight="true" outlineLevel="0" collapsed="false">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ustomFormat="false" ht="13.5" hidden="false" customHeight="true" outlineLevel="0" collapsed="false">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ustomFormat="false" ht="13.5" hidden="false" customHeight="true" outlineLevel="0" collapsed="false">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ustomFormat="false" ht="13.5" hidden="false" customHeight="true" outlineLevel="0" collapsed="false">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ustomFormat="false" ht="13.5" hidden="false" customHeight="true" outlineLevel="0" collapsed="false">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ustomFormat="false" ht="13.5" hidden="false" customHeight="true" outlineLevel="0" collapsed="false">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ustomFormat="false" ht="13.5" hidden="false" customHeight="true" outlineLevel="0" collapsed="false">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ustomFormat="false" ht="13.5" hidden="false" customHeight="true" outlineLevel="0" collapsed="false">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ustomFormat="false" ht="13.5" hidden="false" customHeight="true" outlineLevel="0" collapsed="false">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ustomFormat="false" ht="13.5" hidden="false" customHeight="true" outlineLevel="0" collapsed="false">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ustomFormat="false" ht="13.5" hidden="false" customHeight="true" outlineLevel="0" collapsed="false">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ustomFormat="false" ht="13.5" hidden="false" customHeight="true" outlineLevel="0" collapsed="false">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ustomFormat="false" ht="13.5" hidden="false" customHeight="true" outlineLevel="0" collapsed="false">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ustomFormat="false" ht="13.5" hidden="false" customHeight="true" outlineLevel="0" collapsed="false">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ustomFormat="false" ht="13.5" hidden="false" customHeight="true" outlineLevel="0" collapsed="false">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ustomFormat="false" ht="13.5" hidden="false" customHeight="true" outlineLevel="0" collapsed="false">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ustomFormat="false" ht="13.5" hidden="false" customHeight="true" outlineLevel="0" collapsed="false">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ustomFormat="false" ht="13.5" hidden="false" customHeight="true" outlineLevel="0" collapsed="false">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ustomFormat="false" ht="13.5" hidden="false" customHeight="true" outlineLevel="0" collapsed="false">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ustomFormat="false" ht="13.5" hidden="false" customHeight="true" outlineLevel="0" collapsed="false">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ustomFormat="false" ht="13.5" hidden="false" customHeight="true" outlineLevel="0" collapsed="false">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ustomFormat="false" ht="13.5" hidden="false" customHeight="true" outlineLevel="0" collapsed="false">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ustomFormat="false" ht="13.5" hidden="false" customHeight="true" outlineLevel="0" collapsed="false">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ustomFormat="false" ht="13.5" hidden="false" customHeight="true" outlineLevel="0" collapsed="false">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ustomFormat="false" ht="13.5" hidden="false" customHeight="true" outlineLevel="0" collapsed="false">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ustomFormat="false" ht="13.5" hidden="false" customHeight="true" outlineLevel="0" collapsed="false">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ustomFormat="false" ht="13.5" hidden="false" customHeight="true" outlineLevel="0" collapsed="false">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ustomFormat="false" ht="13.5" hidden="false" customHeight="true" outlineLevel="0" collapsed="false">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ustomFormat="false" ht="13.5" hidden="false" customHeight="true" outlineLevel="0" collapsed="false">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ustomFormat="false" ht="13.5" hidden="false" customHeight="true" outlineLevel="0" collapsed="false">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ustomFormat="false" ht="13.5" hidden="false" customHeight="true" outlineLevel="0" collapsed="false">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ustomFormat="false" ht="13.5" hidden="false" customHeight="true" outlineLevel="0" collapsed="false">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ustomFormat="false" ht="13.5" hidden="false" customHeight="true" outlineLevel="0" collapsed="false">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ustomFormat="false" ht="13.5" hidden="false" customHeight="true" outlineLevel="0" collapsed="false">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ustomFormat="false" ht="13.5" hidden="false" customHeight="true" outlineLevel="0" collapsed="false">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ustomFormat="false" ht="13.5" hidden="false" customHeight="true" outlineLevel="0" collapsed="false">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ustomFormat="false" ht="13.5" hidden="false" customHeight="true" outlineLevel="0" collapsed="false">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ustomFormat="false" ht="13.5" hidden="false" customHeight="true" outlineLevel="0" collapsed="false">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ustomFormat="false" ht="13.5" hidden="false" customHeight="true" outlineLevel="0" collapsed="false">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ustomFormat="false" ht="13.5" hidden="false" customHeight="true" outlineLevel="0" collapsed="false">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ustomFormat="false" ht="13.5" hidden="false" customHeight="true" outlineLevel="0" collapsed="false">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ustomFormat="false" ht="13.5" hidden="false" customHeight="true" outlineLevel="0" collapsed="false">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ustomFormat="false" ht="13.5" hidden="false" customHeight="true" outlineLevel="0" collapsed="false">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ustomFormat="false" ht="13.5" hidden="false" customHeight="true" outlineLevel="0" collapsed="false">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ustomFormat="false" ht="13.5" hidden="false" customHeight="true" outlineLevel="0" collapsed="false">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ustomFormat="false" ht="13.5" hidden="false" customHeight="true" outlineLevel="0" collapsed="false">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ustomFormat="false" ht="13.5" hidden="false" customHeight="true" outlineLevel="0" collapsed="false">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ustomFormat="false" ht="13.5" hidden="false" customHeight="true" outlineLevel="0" collapsed="false">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ustomFormat="false" ht="13.5" hidden="false" customHeight="true" outlineLevel="0" collapsed="false">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ustomFormat="false" ht="13.5" hidden="false" customHeight="true" outlineLevel="0" collapsed="false">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ustomFormat="false" ht="13.5" hidden="false" customHeight="true" outlineLevel="0" collapsed="false">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ustomFormat="false" ht="13.5" hidden="false" customHeight="true" outlineLevel="0" collapsed="false">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ustomFormat="false" ht="13.5" hidden="false" customHeight="true" outlineLevel="0" collapsed="false">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ustomFormat="false" ht="13.5" hidden="false" customHeight="true" outlineLevel="0" collapsed="false">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ustomFormat="false" ht="13.5" hidden="false" customHeight="true" outlineLevel="0" collapsed="false">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ustomFormat="false" ht="13.5" hidden="false" customHeight="true" outlineLevel="0" collapsed="false">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ustomFormat="false" ht="13.5" hidden="false" customHeight="true" outlineLevel="0" collapsed="false">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ustomFormat="false" ht="13.5" hidden="false" customHeight="true" outlineLevel="0" collapsed="false">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ustomFormat="false" ht="13.5" hidden="false" customHeight="true" outlineLevel="0" collapsed="false">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ustomFormat="false" ht="13.5" hidden="false" customHeight="true" outlineLevel="0" collapsed="false">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ustomFormat="false" ht="13.5" hidden="false" customHeight="true" outlineLevel="0" collapsed="false">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ustomFormat="false" ht="13.5" hidden="false" customHeight="true" outlineLevel="0" collapsed="false">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ustomFormat="false" ht="13.5" hidden="false" customHeight="true" outlineLevel="0" collapsed="false">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ustomFormat="false" ht="13.5" hidden="false" customHeight="true" outlineLevel="0" collapsed="false">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ustomFormat="false" ht="13.5" hidden="false" customHeight="true" outlineLevel="0" collapsed="false">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ustomFormat="false" ht="13.5" hidden="false" customHeight="true" outlineLevel="0" collapsed="false">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ustomFormat="false" ht="13.5" hidden="false" customHeight="true" outlineLevel="0" collapsed="false">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ustomFormat="false" ht="13.5" hidden="false" customHeight="true" outlineLevel="0" collapsed="false">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ustomFormat="false" ht="13.5" hidden="false" customHeight="true" outlineLevel="0" collapsed="false">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ustomFormat="false" ht="13.5" hidden="false" customHeight="true" outlineLevel="0" collapsed="false">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ustomFormat="false" ht="13.5" hidden="false" customHeight="true" outlineLevel="0" collapsed="false">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ustomFormat="false" ht="13.5" hidden="false" customHeight="true" outlineLevel="0" collapsed="false">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ustomFormat="false" ht="13.5" hidden="false" customHeight="true" outlineLevel="0" collapsed="false">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ustomFormat="false" ht="13.5" hidden="false" customHeight="true" outlineLevel="0" collapsed="false">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ustomFormat="false" ht="13.5" hidden="false" customHeight="true" outlineLevel="0" collapsed="false">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ustomFormat="false" ht="13.5" hidden="false" customHeight="true" outlineLevel="0" collapsed="false">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ustomFormat="false" ht="13.5" hidden="false" customHeight="true" outlineLevel="0" collapsed="false">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ustomFormat="false" ht="13.5" hidden="false" customHeight="true" outlineLevel="0" collapsed="false">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ustomFormat="false" ht="13.5" hidden="false" customHeight="true" outlineLevel="0" collapsed="false">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ustomFormat="false" ht="13.5" hidden="false" customHeight="true" outlineLevel="0" collapsed="false">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ustomFormat="false" ht="13.5" hidden="false" customHeight="true" outlineLevel="0" collapsed="false">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ustomFormat="false" ht="13.5" hidden="false" customHeight="true" outlineLevel="0" collapsed="false">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ustomFormat="false" ht="13.5" hidden="false" customHeight="true" outlineLevel="0" collapsed="false">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ustomFormat="false" ht="13.5" hidden="false" customHeight="true" outlineLevel="0" collapsed="false">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ustomFormat="false" ht="13.5" hidden="false" customHeight="true" outlineLevel="0" collapsed="false">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ustomFormat="false" ht="13.5" hidden="false" customHeight="true" outlineLevel="0" collapsed="false">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ustomFormat="false" ht="13.5" hidden="false" customHeight="true" outlineLevel="0" collapsed="false">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ustomFormat="false" ht="13.5" hidden="false" customHeight="true" outlineLevel="0" collapsed="false">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ustomFormat="false" ht="13.5" hidden="false" customHeight="true" outlineLevel="0" collapsed="false">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ustomFormat="false" ht="13.5" hidden="false" customHeight="true" outlineLevel="0" collapsed="false">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ustomFormat="false" ht="13.5" hidden="false" customHeight="true" outlineLevel="0" collapsed="false">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ustomFormat="false" ht="13.5" hidden="false" customHeight="true" outlineLevel="0" collapsed="false">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ustomFormat="false" ht="13.5" hidden="false" customHeight="true" outlineLevel="0" collapsed="false">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ustomFormat="false" ht="13.5" hidden="false" customHeight="true" outlineLevel="0" collapsed="false">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ustomFormat="false" ht="13.5" hidden="false" customHeight="true" outlineLevel="0" collapsed="false">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ustomFormat="false" ht="13.5" hidden="false" customHeight="true" outlineLevel="0" collapsed="false">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ustomFormat="false" ht="13.5" hidden="false" customHeight="true" outlineLevel="0" collapsed="false">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ustomFormat="false" ht="13.5" hidden="false" customHeight="true" outlineLevel="0" collapsed="false">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ustomFormat="false" ht="13.5" hidden="false" customHeight="true" outlineLevel="0" collapsed="false">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ustomFormat="false" ht="13.5" hidden="false" customHeight="true" outlineLevel="0" collapsed="false">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ustomFormat="false" ht="13.5" hidden="false" customHeight="true" outlineLevel="0" collapsed="false">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ustomFormat="false" ht="13.5" hidden="false" customHeight="true" outlineLevel="0" collapsed="false">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ustomFormat="false" ht="13.5" hidden="false" customHeight="true" outlineLevel="0" collapsed="false">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ustomFormat="false" ht="13.5" hidden="false" customHeight="true" outlineLevel="0" collapsed="false">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ustomFormat="false" ht="13.5" hidden="false" customHeight="true" outlineLevel="0" collapsed="false">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ustomFormat="false" ht="13.5" hidden="false" customHeight="true" outlineLevel="0" collapsed="false">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ustomFormat="false" ht="13.5" hidden="false" customHeight="true" outlineLevel="0" collapsed="false">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ustomFormat="false" ht="13.5" hidden="false" customHeight="true" outlineLevel="0" collapsed="false">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ustomFormat="false" ht="13.5" hidden="false" customHeight="true" outlineLevel="0" collapsed="false">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ustomFormat="false" ht="13.5" hidden="false" customHeight="true" outlineLevel="0" collapsed="false">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ustomFormat="false" ht="13.5" hidden="false" customHeight="true" outlineLevel="0" collapsed="false">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ustomFormat="false" ht="13.5" hidden="false" customHeight="true" outlineLevel="0" collapsed="false">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ustomFormat="false" ht="13.5" hidden="false" customHeight="true" outlineLevel="0" collapsed="false">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ustomFormat="false" ht="13.5" hidden="false" customHeight="true" outlineLevel="0" collapsed="false">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ustomFormat="false" ht="13.5" hidden="false" customHeight="true" outlineLevel="0" collapsed="false">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ustomFormat="false" ht="13.5" hidden="false" customHeight="true" outlineLevel="0" collapsed="false">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ustomFormat="false" ht="13.5" hidden="false" customHeight="true" outlineLevel="0" collapsed="false">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ustomFormat="false" ht="13.5" hidden="false" customHeight="true" outlineLevel="0" collapsed="false">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ustomFormat="false" ht="13.5" hidden="false" customHeight="true" outlineLevel="0" collapsed="false">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ustomFormat="false" ht="13.5" hidden="false" customHeight="true" outlineLevel="0" collapsed="false">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ustomFormat="false" ht="13.5" hidden="false" customHeight="true" outlineLevel="0" collapsed="false">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ustomFormat="false" ht="13.5" hidden="false" customHeight="true" outlineLevel="0" collapsed="false">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ustomFormat="false" ht="13.5" hidden="false" customHeight="true" outlineLevel="0" collapsed="false">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ustomFormat="false" ht="13.5" hidden="false" customHeight="true" outlineLevel="0" collapsed="false">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ustomFormat="false" ht="13.5" hidden="false" customHeight="true" outlineLevel="0" collapsed="false">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ustomFormat="false" ht="13.5" hidden="false" customHeight="true" outlineLevel="0" collapsed="false">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ustomFormat="false" ht="13.5" hidden="false" customHeight="true" outlineLevel="0" collapsed="false">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ustomFormat="false" ht="13.5" hidden="false" customHeight="true" outlineLevel="0" collapsed="false">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ustomFormat="false" ht="13.5" hidden="false" customHeight="true" outlineLevel="0" collapsed="false">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ustomFormat="false" ht="13.5" hidden="false" customHeight="true" outlineLevel="0" collapsed="false">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ustomFormat="false" ht="13.5" hidden="false" customHeight="true" outlineLevel="0" collapsed="false">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ustomFormat="false" ht="13.5" hidden="false" customHeight="true" outlineLevel="0" collapsed="false">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ustomFormat="false" ht="13.5" hidden="false" customHeight="true" outlineLevel="0" collapsed="false">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ustomFormat="false" ht="13.5" hidden="false" customHeight="true" outlineLevel="0" collapsed="false">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ustomFormat="false" ht="13.5" hidden="false" customHeight="true" outlineLevel="0" collapsed="false">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ustomFormat="false" ht="13.5" hidden="false" customHeight="true" outlineLevel="0" collapsed="false">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ustomFormat="false" ht="13.5" hidden="false" customHeight="true" outlineLevel="0" collapsed="false">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ustomFormat="false" ht="13.5" hidden="false" customHeight="true" outlineLevel="0" collapsed="false">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ustomFormat="false" ht="13.5" hidden="false" customHeight="true" outlineLevel="0" collapsed="false">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ustomFormat="false" ht="13.5" hidden="false" customHeight="true" outlineLevel="0" collapsed="false">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ustomFormat="false" ht="13.5" hidden="false" customHeight="true" outlineLevel="0" collapsed="false">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ustomFormat="false" ht="13.5" hidden="false" customHeight="true" outlineLevel="0" collapsed="false">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ustomFormat="false" ht="13.5" hidden="false" customHeight="true" outlineLevel="0" collapsed="false">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ustomFormat="false" ht="13.5" hidden="false" customHeight="true" outlineLevel="0" collapsed="false">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ustomFormat="false" ht="13.5" hidden="false" customHeight="true" outlineLevel="0" collapsed="false">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ustomFormat="false" ht="13.5" hidden="false" customHeight="true" outlineLevel="0" collapsed="false">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ustomFormat="false" ht="13.5" hidden="false" customHeight="true" outlineLevel="0" collapsed="false">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ustomFormat="false" ht="13.5" hidden="false" customHeight="true" outlineLevel="0" collapsed="false">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ustomFormat="false" ht="13.5" hidden="false" customHeight="true" outlineLevel="0" collapsed="false">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ustomFormat="false" ht="13.5" hidden="false" customHeight="true" outlineLevel="0" collapsed="false">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ustomFormat="false" ht="13.5" hidden="false" customHeight="true" outlineLevel="0" collapsed="false">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ustomFormat="false" ht="13.5" hidden="false" customHeight="true" outlineLevel="0" collapsed="false">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ustomFormat="false" ht="13.5" hidden="false" customHeight="true" outlineLevel="0" collapsed="false">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ustomFormat="false" ht="13.5" hidden="false" customHeight="true" outlineLevel="0" collapsed="false">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ustomFormat="false" ht="13.5" hidden="false" customHeight="true" outlineLevel="0" collapsed="false">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ustomFormat="false" ht="13.5" hidden="false" customHeight="true" outlineLevel="0" collapsed="false">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ustomFormat="false" ht="13.5" hidden="false" customHeight="true" outlineLevel="0" collapsed="false">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ustomFormat="false" ht="13.5" hidden="false" customHeight="true" outlineLevel="0" collapsed="false">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ustomFormat="false" ht="13.5" hidden="false" customHeight="true" outlineLevel="0" collapsed="false">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ustomFormat="false" ht="13.5" hidden="false" customHeight="true" outlineLevel="0" collapsed="false">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ustomFormat="false" ht="13.5" hidden="false" customHeight="true" outlineLevel="0" collapsed="false">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ustomFormat="false" ht="13.5" hidden="false" customHeight="true" outlineLevel="0" collapsed="false">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ustomFormat="false" ht="13.5" hidden="false" customHeight="true" outlineLevel="0" collapsed="false">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ustomFormat="false" ht="13.5" hidden="false" customHeight="true" outlineLevel="0" collapsed="false">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ustomFormat="false" ht="13.5" hidden="false" customHeight="true" outlineLevel="0" collapsed="false">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ustomFormat="false" ht="13.5" hidden="false" customHeight="true" outlineLevel="0" collapsed="false">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ustomFormat="false" ht="13.5" hidden="false" customHeight="true" outlineLevel="0" collapsed="false">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ustomFormat="false" ht="13.5" hidden="false" customHeight="true" outlineLevel="0" collapsed="false">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ustomFormat="false" ht="13.5" hidden="false" customHeight="true" outlineLevel="0" collapsed="false">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ustomFormat="false" ht="13.5" hidden="false" customHeight="true" outlineLevel="0" collapsed="false">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ustomFormat="false" ht="13.5" hidden="false" customHeight="true" outlineLevel="0" collapsed="false">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ustomFormat="false" ht="13.5" hidden="false" customHeight="true" outlineLevel="0" collapsed="false">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ustomFormat="false" ht="13.5" hidden="false" customHeight="true" outlineLevel="0" collapsed="false">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ustomFormat="false" ht="13.5" hidden="false" customHeight="true" outlineLevel="0" collapsed="false">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ustomFormat="false" ht="13.5" hidden="false" customHeight="true" outlineLevel="0" collapsed="false">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ustomFormat="false" ht="13.5" hidden="false" customHeight="true" outlineLevel="0" collapsed="false">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ustomFormat="false" ht="13.5" hidden="false" customHeight="true" outlineLevel="0" collapsed="false">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ustomFormat="false" ht="13.5" hidden="false" customHeight="true" outlineLevel="0" collapsed="false">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ustomFormat="false" ht="13.5" hidden="false" customHeight="true" outlineLevel="0" collapsed="false">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ustomFormat="false" ht="13.5" hidden="false" customHeight="true" outlineLevel="0" collapsed="false">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ustomFormat="false" ht="13.5" hidden="false" customHeight="true" outlineLevel="0" collapsed="false">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ustomFormat="false" ht="13.5" hidden="false" customHeight="true" outlineLevel="0" collapsed="false">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ustomFormat="false" ht="13.5" hidden="false" customHeight="true" outlineLevel="0" collapsed="false">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ustomFormat="false" ht="13.5" hidden="false" customHeight="true" outlineLevel="0" collapsed="false">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ustomFormat="false" ht="13.5" hidden="false" customHeight="true" outlineLevel="0" collapsed="false">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ustomFormat="false" ht="13.5" hidden="false" customHeight="true" outlineLevel="0" collapsed="false">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ustomFormat="false" ht="13.5" hidden="false" customHeight="true" outlineLevel="0" collapsed="false">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ustomFormat="false" ht="13.5" hidden="false" customHeight="true" outlineLevel="0" collapsed="false">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ustomFormat="false" ht="13.5" hidden="false" customHeight="true" outlineLevel="0" collapsed="false">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ustomFormat="false" ht="13.5" hidden="false" customHeight="true" outlineLevel="0" collapsed="false">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ustomFormat="false" ht="13.5" hidden="false" customHeight="true" outlineLevel="0" collapsed="false">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ustomFormat="false" ht="13.5" hidden="false" customHeight="true" outlineLevel="0" collapsed="false">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ustomFormat="false" ht="13.5" hidden="false" customHeight="true" outlineLevel="0" collapsed="false">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ustomFormat="false" ht="13.5" hidden="false" customHeight="true" outlineLevel="0" collapsed="false">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ustomFormat="false" ht="13.5" hidden="false" customHeight="true" outlineLevel="0" collapsed="false">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ustomFormat="false" ht="13.5" hidden="false" customHeight="true" outlineLevel="0" collapsed="false">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ustomFormat="false" ht="13.5" hidden="false" customHeight="true" outlineLevel="0" collapsed="false">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ustomFormat="false" ht="13.5" hidden="false" customHeight="true" outlineLevel="0" collapsed="false">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ustomFormat="false" ht="13.5" hidden="false" customHeight="true" outlineLevel="0" collapsed="false">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ustomFormat="false" ht="13.5" hidden="false" customHeight="true" outlineLevel="0" collapsed="false">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ustomFormat="false" ht="13.5" hidden="false" customHeight="true" outlineLevel="0" collapsed="false">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ustomFormat="false" ht="13.5" hidden="false" customHeight="true" outlineLevel="0" collapsed="false">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ustomFormat="false" ht="13.5" hidden="false" customHeight="true" outlineLevel="0" collapsed="false">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ustomFormat="false" ht="13.5" hidden="false" customHeight="true" outlineLevel="0" collapsed="false">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ustomFormat="false" ht="13.5" hidden="false" customHeight="true" outlineLevel="0" collapsed="false">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ustomFormat="false" ht="13.5" hidden="false" customHeight="true" outlineLevel="0" collapsed="false">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ustomFormat="false" ht="13.5" hidden="false" customHeight="true" outlineLevel="0" collapsed="false">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ustomFormat="false" ht="13.5" hidden="false" customHeight="true" outlineLevel="0" collapsed="false">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ustomFormat="false" ht="13.5" hidden="false" customHeight="true" outlineLevel="0" collapsed="false">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ustomFormat="false" ht="13.5" hidden="false" customHeight="true" outlineLevel="0" collapsed="false">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ustomFormat="false" ht="13.5" hidden="false" customHeight="true" outlineLevel="0" collapsed="false">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ustomFormat="false" ht="13.5" hidden="false" customHeight="true" outlineLevel="0" collapsed="false">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ustomFormat="false" ht="13.5" hidden="false" customHeight="true" outlineLevel="0" collapsed="false">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ustomFormat="false" ht="13.5" hidden="false" customHeight="true" outlineLevel="0" collapsed="false">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ustomFormat="false" ht="13.5" hidden="false" customHeight="true" outlineLevel="0" collapsed="false">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ustomFormat="false" ht="13.5" hidden="false" customHeight="true" outlineLevel="0" collapsed="false">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ustomFormat="false" ht="13.5" hidden="false" customHeight="true" outlineLevel="0" collapsed="false">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ustomFormat="false" ht="13.5" hidden="false" customHeight="true" outlineLevel="0" collapsed="false">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ustomFormat="false" ht="13.5" hidden="false" customHeight="true" outlineLevel="0" collapsed="false">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ustomFormat="false" ht="13.5" hidden="false" customHeight="true" outlineLevel="0" collapsed="false">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ustomFormat="false" ht="13.5" hidden="false" customHeight="true" outlineLevel="0" collapsed="false">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ustomFormat="false" ht="13.5" hidden="false" customHeight="true" outlineLevel="0" collapsed="false">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ustomFormat="false" ht="13.5" hidden="false" customHeight="true" outlineLevel="0" collapsed="false">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ustomFormat="false" ht="13.5" hidden="false" customHeight="true" outlineLevel="0" collapsed="false">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ustomFormat="false" ht="13.5" hidden="false" customHeight="true" outlineLevel="0" collapsed="false">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ustomFormat="false" ht="13.5" hidden="false" customHeight="true" outlineLevel="0" collapsed="false">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ustomFormat="false" ht="13.5" hidden="false" customHeight="true" outlineLevel="0" collapsed="false">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ustomFormat="false" ht="13.5" hidden="false" customHeight="true" outlineLevel="0" collapsed="false">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ustomFormat="false" ht="13.5" hidden="false" customHeight="true" outlineLevel="0" collapsed="false">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ustomFormat="false" ht="13.5" hidden="false" customHeight="true" outlineLevel="0" collapsed="false">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ustomFormat="false" ht="13.5" hidden="false" customHeight="true" outlineLevel="0" collapsed="false">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ustomFormat="false" ht="13.5" hidden="false" customHeight="true" outlineLevel="0" collapsed="false">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ustomFormat="false" ht="13.5" hidden="false" customHeight="true" outlineLevel="0" collapsed="false">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ustomFormat="false" ht="13.5" hidden="false" customHeight="true" outlineLevel="0" collapsed="false">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ustomFormat="false" ht="13.5" hidden="false" customHeight="true" outlineLevel="0" collapsed="false">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ustomFormat="false" ht="13.5" hidden="false" customHeight="true" outlineLevel="0" collapsed="false">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ustomFormat="false" ht="13.5" hidden="false" customHeight="true" outlineLevel="0" collapsed="false">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ustomFormat="false" ht="13.5" hidden="false" customHeight="true" outlineLevel="0" collapsed="false">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ustomFormat="false" ht="13.5" hidden="false" customHeight="true" outlineLevel="0" collapsed="false">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ustomFormat="false" ht="13.5" hidden="false" customHeight="true" outlineLevel="0" collapsed="false">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ustomFormat="false" ht="13.5" hidden="false" customHeight="true" outlineLevel="0" collapsed="false">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ustomFormat="false" ht="13.5" hidden="false" customHeight="true" outlineLevel="0" collapsed="false">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ustomFormat="false" ht="13.5" hidden="false" customHeight="true" outlineLevel="0" collapsed="false">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ustomFormat="false" ht="13.5" hidden="false" customHeight="true" outlineLevel="0" collapsed="false">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ustomFormat="false" ht="13.5" hidden="false" customHeight="true" outlineLevel="0" collapsed="false">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ustomFormat="false" ht="13.5" hidden="false" customHeight="true" outlineLevel="0" collapsed="false">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ustomFormat="false" ht="13.5" hidden="false" customHeight="true" outlineLevel="0" collapsed="false">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ustomFormat="false" ht="13.5" hidden="false" customHeight="true" outlineLevel="0" collapsed="false">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ustomFormat="false" ht="13.5" hidden="false" customHeight="true" outlineLevel="0" collapsed="false">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ustomFormat="false" ht="13.5" hidden="false" customHeight="true" outlineLevel="0" collapsed="false">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ustomFormat="false" ht="13.5" hidden="false" customHeight="true" outlineLevel="0" collapsed="false">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ustomFormat="false" ht="13.5" hidden="false" customHeight="true" outlineLevel="0" collapsed="false">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ustomFormat="false" ht="13.5" hidden="false" customHeight="true" outlineLevel="0" collapsed="false">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ustomFormat="false" ht="13.5" hidden="false" customHeight="true" outlineLevel="0" collapsed="false">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ustomFormat="false" ht="13.5" hidden="false" customHeight="true" outlineLevel="0" collapsed="false">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ustomFormat="false" ht="13.5" hidden="false" customHeight="true" outlineLevel="0" collapsed="false">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ustomFormat="false" ht="13.5" hidden="false" customHeight="true" outlineLevel="0" collapsed="false">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ustomFormat="false" ht="13.5" hidden="false" customHeight="true" outlineLevel="0" collapsed="false">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ustomFormat="false" ht="13.5" hidden="false" customHeight="true" outlineLevel="0" collapsed="false">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ustomFormat="false" ht="13.5" hidden="false" customHeight="true" outlineLevel="0" collapsed="false">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ustomFormat="false" ht="13.5" hidden="false" customHeight="true" outlineLevel="0" collapsed="false">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ustomFormat="false" ht="13.5" hidden="false" customHeight="true" outlineLevel="0" collapsed="false">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ustomFormat="false" ht="13.5" hidden="false" customHeight="true" outlineLevel="0" collapsed="false">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ustomFormat="false" ht="13.5" hidden="false" customHeight="true" outlineLevel="0" collapsed="false">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ustomFormat="false" ht="13.5" hidden="false" customHeight="true" outlineLevel="0" collapsed="false">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ustomFormat="false" ht="13.5" hidden="false" customHeight="true" outlineLevel="0" collapsed="false">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ustomFormat="false" ht="13.5" hidden="false" customHeight="true" outlineLevel="0" collapsed="false">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ustomFormat="false" ht="13.5" hidden="false" customHeight="true" outlineLevel="0" collapsed="false">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ustomFormat="false" ht="13.5" hidden="false" customHeight="true" outlineLevel="0" collapsed="false">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ustomFormat="false" ht="13.5" hidden="false" customHeight="true" outlineLevel="0" collapsed="false">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ustomFormat="false" ht="13.5" hidden="false" customHeight="true" outlineLevel="0" collapsed="false">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ustomFormat="false" ht="13.5" hidden="false" customHeight="true" outlineLevel="0" collapsed="false">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ustomFormat="false" ht="13.5" hidden="false" customHeight="true" outlineLevel="0" collapsed="false">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ustomFormat="false" ht="13.5" hidden="false" customHeight="true" outlineLevel="0" collapsed="false">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ustomFormat="false" ht="13.5" hidden="false" customHeight="true" outlineLevel="0" collapsed="false">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ustomFormat="false" ht="13.5" hidden="false" customHeight="true" outlineLevel="0" collapsed="false">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ustomFormat="false" ht="13.5" hidden="false" customHeight="true" outlineLevel="0" collapsed="false">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ustomFormat="false" ht="13.5" hidden="false" customHeight="true" outlineLevel="0" collapsed="false">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ustomFormat="false" ht="13.5" hidden="false" customHeight="true" outlineLevel="0" collapsed="false">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ustomFormat="false" ht="13.5" hidden="false" customHeight="true" outlineLevel="0" collapsed="false">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ustomFormat="false" ht="13.5" hidden="false" customHeight="true" outlineLevel="0" collapsed="false">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ustomFormat="false" ht="13.5" hidden="false" customHeight="true" outlineLevel="0" collapsed="false">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ustomFormat="false" ht="13.5" hidden="false" customHeight="true" outlineLevel="0" collapsed="false">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allowBlank="true" errorStyle="stop" operator="between" prompt=" - " showDropDown="false" showErrorMessage="true" showInputMessage="true" sqref="F27:L27" type="list">
      <formula1>"P,F"</formula1>
      <formula2>0</formula2>
    </dataValidation>
    <dataValidation allowBlank="true" errorStyle="stop" operator="between" prompt=" - " showDropDown="false" showErrorMessage="true" showInputMessage="true" sqref="F10:L25" type="list">
      <formula1>"O"</formula1>
      <formula2>0</formula2>
    </dataValidation>
    <dataValidation allowBlank="true" errorStyle="stop" operator="between" prompt=" - " showDropDown="false" showErrorMessage="true" showInputMessage="true" sqref="F26:L26"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26.5"/>
    <col collapsed="false" customWidth="true" hidden="true" outlineLevel="0" max="5" min="5" style="1" width="1.88"/>
    <col collapsed="false" customWidth="true" hidden="false" outlineLevel="0" max="9" min="6" style="1" width="5.13"/>
    <col collapsed="false" customWidth="true" hidden="false" outlineLevel="0" max="10" min="10" style="1" width="5.63"/>
    <col collapsed="false" customWidth="true" hidden="false" outlineLevel="0" max="21" min="11"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134</v>
      </c>
      <c r="D2" s="125"/>
      <c r="E2" s="126"/>
      <c r="F2" s="127" t="s">
        <v>82</v>
      </c>
      <c r="G2" s="127"/>
      <c r="H2" s="127"/>
      <c r="I2" s="127"/>
      <c r="J2" s="127"/>
      <c r="K2" s="127"/>
      <c r="L2" s="128" t="s">
        <v>135</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32" t="s">
        <v>136</v>
      </c>
      <c r="M3" s="132"/>
      <c r="N3" s="132"/>
      <c r="O3" s="132"/>
      <c r="P3" s="132"/>
      <c r="Q3" s="52"/>
      <c r="R3" s="52"/>
      <c r="S3" s="52"/>
      <c r="T3" s="133"/>
      <c r="U3" s="121"/>
      <c r="V3" s="121"/>
      <c r="W3" s="121"/>
      <c r="X3" s="121"/>
      <c r="Y3" s="121"/>
      <c r="Z3" s="121"/>
    </row>
    <row r="4" customFormat="false" ht="13.5" hidden="false" customHeight="true" outlineLevel="0" collapsed="false">
      <c r="A4" s="134" t="s">
        <v>87</v>
      </c>
      <c r="B4" s="134"/>
      <c r="C4" s="55" t="n">
        <v>50</v>
      </c>
      <c r="D4" s="55"/>
      <c r="E4" s="135"/>
      <c r="F4" s="136" t="s">
        <v>88</v>
      </c>
      <c r="G4" s="136"/>
      <c r="H4" s="136"/>
      <c r="I4" s="136"/>
      <c r="J4" s="136"/>
      <c r="K4" s="136"/>
      <c r="L4" s="57" t="n">
        <v>0</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90</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COUNTIF(F30:HQ30,"P")</f>
        <v>5</v>
      </c>
      <c r="B7" s="63"/>
      <c r="C7" s="64" t="n">
        <f aca="false">COUNTIF(F30:HQ30,"F")</f>
        <v>0</v>
      </c>
      <c r="D7" s="64"/>
      <c r="E7" s="64"/>
      <c r="F7" s="64" t="n">
        <f aca="false">SUM(O7,-A7,-C7)</f>
        <v>0</v>
      </c>
      <c r="G7" s="64"/>
      <c r="H7" s="64"/>
      <c r="I7" s="64"/>
      <c r="J7" s="64"/>
      <c r="K7" s="64"/>
      <c r="L7" s="65" t="n">
        <f aca="false">COUNTIF(E29:HQ29,"N")</f>
        <v>3</v>
      </c>
      <c r="M7" s="65" t="n">
        <f aca="false">COUNTIF(E29:HQ29,"A")</f>
        <v>1</v>
      </c>
      <c r="N7" s="65" t="n">
        <f aca="false">COUNTIF(E29:HQ29,"B")</f>
        <v>1</v>
      </c>
      <c r="O7" s="66" t="n">
        <f aca="false">COUNTA(E9:HT9)</f>
        <v>5</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21"/>
      <c r="L9" s="121"/>
      <c r="M9" s="121"/>
      <c r="N9" s="121"/>
      <c r="O9" s="121"/>
      <c r="P9" s="121"/>
      <c r="Q9" s="121"/>
      <c r="R9" s="121"/>
      <c r="S9" s="121"/>
      <c r="T9" s="121"/>
      <c r="U9" s="146"/>
      <c r="V9" s="137"/>
      <c r="W9" s="121"/>
      <c r="X9" s="121"/>
      <c r="Y9" s="121"/>
      <c r="Z9" s="121"/>
    </row>
    <row r="10" customFormat="false" ht="13.5" hidden="false" customHeight="true" outlineLevel="0" collapsed="false">
      <c r="A10" s="71" t="s">
        <v>103</v>
      </c>
      <c r="B10" s="147" t="s">
        <v>104</v>
      </c>
      <c r="C10" s="148"/>
      <c r="D10" s="80"/>
      <c r="E10" s="149"/>
      <c r="F10" s="150"/>
      <c r="G10" s="150"/>
      <c r="H10" s="150"/>
      <c r="I10" s="150"/>
      <c r="J10" s="150"/>
      <c r="K10" s="121"/>
      <c r="L10" s="121"/>
      <c r="M10" s="121"/>
      <c r="N10" s="121"/>
      <c r="O10" s="121"/>
      <c r="P10" s="121"/>
      <c r="Q10" s="121"/>
      <c r="R10" s="121"/>
      <c r="S10" s="121"/>
      <c r="T10" s="121"/>
      <c r="U10" s="121"/>
      <c r="V10" s="121"/>
      <c r="W10" s="121"/>
      <c r="X10" s="121"/>
      <c r="Y10" s="121"/>
      <c r="Z10" s="121"/>
    </row>
    <row r="11" customFormat="false" ht="13.5" hidden="false" customHeight="true" outlineLevel="0" collapsed="false">
      <c r="A11" s="151"/>
      <c r="B11" s="147"/>
      <c r="C11" s="148"/>
      <c r="D11" s="80" t="s">
        <v>137</v>
      </c>
      <c r="E11" s="152"/>
      <c r="F11" s="150" t="s">
        <v>106</v>
      </c>
      <c r="G11" s="150" t="s">
        <v>106</v>
      </c>
      <c r="H11" s="150" t="s">
        <v>106</v>
      </c>
      <c r="I11" s="150" t="s">
        <v>106</v>
      </c>
      <c r="J11" s="150"/>
      <c r="K11" s="121"/>
      <c r="L11" s="121"/>
      <c r="M11" s="121"/>
      <c r="N11" s="121"/>
      <c r="O11" s="121"/>
      <c r="P11" s="121"/>
      <c r="Q11" s="121"/>
      <c r="R11" s="121"/>
      <c r="S11" s="121"/>
      <c r="T11" s="121"/>
      <c r="U11" s="121"/>
      <c r="V11" s="137"/>
      <c r="W11" s="121"/>
      <c r="X11" s="121"/>
      <c r="Y11" s="121"/>
      <c r="Z11" s="121"/>
    </row>
    <row r="12" customFormat="false" ht="13.5" hidden="false" customHeight="true" outlineLevel="0" collapsed="false">
      <c r="A12" s="151"/>
      <c r="B12" s="147"/>
      <c r="C12" s="148"/>
      <c r="D12" s="80" t="s">
        <v>138</v>
      </c>
      <c r="E12" s="152"/>
      <c r="F12" s="150" t="s">
        <v>106</v>
      </c>
      <c r="G12" s="150" t="s">
        <v>106</v>
      </c>
      <c r="H12" s="150"/>
      <c r="I12" s="150" t="s">
        <v>106</v>
      </c>
      <c r="J12" s="150"/>
      <c r="K12" s="121"/>
      <c r="L12" s="121"/>
      <c r="M12" s="121"/>
      <c r="N12" s="121"/>
      <c r="O12" s="121"/>
      <c r="P12" s="121"/>
      <c r="Q12" s="121"/>
      <c r="R12" s="121"/>
      <c r="S12" s="121"/>
      <c r="T12" s="121"/>
      <c r="U12" s="121"/>
      <c r="V12" s="121"/>
      <c r="W12" s="121"/>
      <c r="X12" s="121"/>
      <c r="Y12" s="121"/>
      <c r="Z12" s="121"/>
    </row>
    <row r="13" customFormat="false" ht="13.5" hidden="false" customHeight="true" outlineLevel="0" collapsed="false">
      <c r="A13" s="151"/>
      <c r="B13" s="147"/>
      <c r="C13" s="148"/>
      <c r="D13" s="80" t="s">
        <v>139</v>
      </c>
      <c r="E13" s="153"/>
      <c r="F13" s="150" t="s">
        <v>106</v>
      </c>
      <c r="G13" s="150"/>
      <c r="H13" s="150" t="s">
        <v>106</v>
      </c>
      <c r="I13" s="150" t="s">
        <v>106</v>
      </c>
      <c r="J13" s="150"/>
      <c r="K13" s="121"/>
      <c r="L13" s="121"/>
      <c r="M13" s="121"/>
      <c r="N13" s="121"/>
      <c r="O13" s="121"/>
      <c r="P13" s="121"/>
      <c r="Q13" s="121"/>
      <c r="R13" s="121"/>
      <c r="S13" s="121"/>
      <c r="T13" s="121"/>
      <c r="U13" s="121"/>
      <c r="V13" s="137"/>
      <c r="W13" s="121"/>
      <c r="X13" s="121"/>
      <c r="Y13" s="121"/>
      <c r="Z13" s="121"/>
    </row>
    <row r="14" customFormat="false" ht="13.5" hidden="false" customHeight="true" outlineLevel="0" collapsed="false">
      <c r="A14" s="151"/>
      <c r="B14" s="147"/>
      <c r="C14" s="148"/>
      <c r="D14" s="80" t="s">
        <v>140</v>
      </c>
      <c r="E14" s="154"/>
      <c r="F14" s="150"/>
      <c r="G14" s="150"/>
      <c r="H14" s="150"/>
      <c r="I14" s="150" t="s">
        <v>106</v>
      </c>
      <c r="J14" s="150"/>
      <c r="K14" s="121"/>
      <c r="L14" s="121"/>
      <c r="M14" s="121"/>
      <c r="N14" s="121"/>
      <c r="O14" s="121"/>
      <c r="P14" s="121"/>
      <c r="Q14" s="121"/>
      <c r="R14" s="121"/>
      <c r="S14" s="121"/>
      <c r="T14" s="121"/>
      <c r="U14" s="121"/>
      <c r="V14" s="121"/>
      <c r="W14" s="121"/>
      <c r="X14" s="121"/>
      <c r="Y14" s="121"/>
      <c r="Z14" s="121"/>
    </row>
    <row r="15" customFormat="false" ht="13.5" hidden="false" customHeight="true" outlineLevel="0" collapsed="false">
      <c r="A15" s="151"/>
      <c r="B15" s="155" t="s">
        <v>141</v>
      </c>
      <c r="C15" s="156"/>
      <c r="D15" s="86" t="s">
        <v>142</v>
      </c>
      <c r="E15" s="154"/>
      <c r="F15" s="157" t="s">
        <v>106</v>
      </c>
      <c r="G15" s="157" t="s">
        <v>106</v>
      </c>
      <c r="H15" s="157" t="s">
        <v>106</v>
      </c>
      <c r="I15" s="157" t="s">
        <v>106</v>
      </c>
      <c r="J15" s="157" t="s">
        <v>106</v>
      </c>
      <c r="K15" s="121"/>
      <c r="L15" s="121"/>
      <c r="M15" s="121"/>
      <c r="N15" s="121"/>
      <c r="O15" s="121"/>
      <c r="P15" s="121"/>
      <c r="Q15" s="121"/>
      <c r="R15" s="121"/>
      <c r="S15" s="121"/>
      <c r="T15" s="121"/>
      <c r="U15" s="121"/>
      <c r="V15" s="121"/>
      <c r="W15" s="121"/>
      <c r="X15" s="121"/>
      <c r="Y15" s="121"/>
      <c r="Z15" s="121"/>
    </row>
    <row r="16" customFormat="false" ht="13.5" hidden="false" customHeight="true" outlineLevel="0" collapsed="false">
      <c r="A16" s="151"/>
      <c r="B16" s="155"/>
      <c r="C16" s="156"/>
      <c r="D16" s="86" t="n">
        <v>1</v>
      </c>
      <c r="E16" s="154"/>
      <c r="F16" s="157"/>
      <c r="G16" s="157"/>
      <c r="H16" s="157" t="s">
        <v>106</v>
      </c>
      <c r="I16" s="157"/>
      <c r="J16" s="157"/>
      <c r="K16" s="121"/>
      <c r="L16" s="121"/>
      <c r="M16" s="121"/>
      <c r="N16" s="121"/>
      <c r="O16" s="121"/>
      <c r="P16" s="121"/>
      <c r="Q16" s="121"/>
      <c r="R16" s="121"/>
      <c r="S16" s="121"/>
      <c r="T16" s="121"/>
      <c r="U16" s="121"/>
      <c r="V16" s="121"/>
      <c r="W16" s="121"/>
      <c r="X16" s="121"/>
      <c r="Y16" s="121"/>
      <c r="Z16" s="121"/>
    </row>
    <row r="17" customFormat="false" ht="13.5" hidden="false" customHeight="true" outlineLevel="0" collapsed="false">
      <c r="A17" s="151"/>
      <c r="B17" s="155"/>
      <c r="C17" s="156"/>
      <c r="D17" s="86" t="n">
        <v>0</v>
      </c>
      <c r="E17" s="154"/>
      <c r="F17" s="157"/>
      <c r="G17" s="157"/>
      <c r="H17" s="157"/>
      <c r="I17" s="157" t="s">
        <v>106</v>
      </c>
      <c r="J17" s="157"/>
      <c r="K17" s="121"/>
      <c r="L17" s="121"/>
      <c r="M17" s="121"/>
      <c r="N17" s="121"/>
      <c r="O17" s="121"/>
      <c r="P17" s="121"/>
      <c r="Q17" s="121"/>
      <c r="R17" s="121"/>
      <c r="S17" s="121"/>
      <c r="T17" s="121"/>
      <c r="U17" s="121"/>
      <c r="V17" s="121"/>
      <c r="W17" s="121"/>
      <c r="X17" s="121"/>
      <c r="Y17" s="121"/>
      <c r="Z17" s="121"/>
    </row>
    <row r="18" customFormat="false" ht="13.5" hidden="false" customHeight="true" outlineLevel="0" collapsed="false">
      <c r="A18" s="87" t="s">
        <v>111</v>
      </c>
      <c r="B18" s="88" t="s">
        <v>112</v>
      </c>
      <c r="C18" s="158"/>
      <c r="D18" s="159" t="s">
        <v>143</v>
      </c>
      <c r="E18" s="160"/>
      <c r="F18" s="157" t="s">
        <v>106</v>
      </c>
      <c r="G18" s="157" t="s">
        <v>106</v>
      </c>
      <c r="H18" s="157" t="s">
        <v>106</v>
      </c>
      <c r="I18" s="157" t="s">
        <v>106</v>
      </c>
      <c r="J18" s="157" t="s">
        <v>106</v>
      </c>
      <c r="K18" s="121"/>
      <c r="L18" s="121"/>
      <c r="M18" s="121"/>
      <c r="N18" s="121"/>
      <c r="O18" s="121"/>
      <c r="P18" s="121"/>
      <c r="Q18" s="121"/>
      <c r="R18" s="121"/>
      <c r="S18" s="121"/>
      <c r="T18" s="121"/>
      <c r="U18" s="121"/>
      <c r="V18" s="121"/>
      <c r="W18" s="121"/>
      <c r="X18" s="121"/>
      <c r="Y18" s="121"/>
      <c r="Z18" s="121"/>
    </row>
    <row r="19" customFormat="false" ht="13.5" hidden="false" customHeight="true" outlineLevel="0" collapsed="false">
      <c r="A19" s="161"/>
      <c r="B19" s="97"/>
      <c r="C19" s="162"/>
      <c r="D19" s="99" t="s">
        <v>144</v>
      </c>
      <c r="E19" s="163"/>
      <c r="F19" s="150" t="s">
        <v>106</v>
      </c>
      <c r="G19" s="150" t="s">
        <v>106</v>
      </c>
      <c r="H19" s="150" t="s">
        <v>106</v>
      </c>
      <c r="I19" s="150" t="s">
        <v>106</v>
      </c>
      <c r="J19" s="150" t="s">
        <v>106</v>
      </c>
      <c r="K19" s="121"/>
      <c r="L19" s="121"/>
      <c r="M19" s="121"/>
      <c r="N19" s="121"/>
      <c r="O19" s="121"/>
      <c r="P19" s="121"/>
      <c r="Q19" s="121"/>
      <c r="R19" s="121"/>
      <c r="S19" s="121"/>
      <c r="T19" s="121"/>
      <c r="U19" s="121"/>
      <c r="V19" s="121"/>
      <c r="W19" s="121"/>
      <c r="X19" s="121"/>
      <c r="Y19" s="121"/>
      <c r="Z19" s="121"/>
    </row>
    <row r="20" customFormat="false" ht="13.5" hidden="false" customHeight="true" outlineLevel="0" collapsed="false">
      <c r="A20" s="161"/>
      <c r="B20" s="97"/>
      <c r="C20" s="56"/>
      <c r="D20" s="99" t="s">
        <v>145</v>
      </c>
      <c r="E20" s="164"/>
      <c r="F20" s="150" t="s">
        <v>106</v>
      </c>
      <c r="G20" s="150" t="s">
        <v>106</v>
      </c>
      <c r="H20" s="150" t="s">
        <v>106</v>
      </c>
      <c r="I20" s="150" t="s">
        <v>106</v>
      </c>
      <c r="J20" s="150" t="s">
        <v>106</v>
      </c>
      <c r="K20" s="121"/>
      <c r="L20" s="121"/>
      <c r="M20" s="121"/>
      <c r="N20" s="121"/>
      <c r="O20" s="121"/>
      <c r="P20" s="121"/>
      <c r="Q20" s="121"/>
      <c r="R20" s="121"/>
      <c r="S20" s="121"/>
      <c r="T20" s="121"/>
      <c r="U20" s="121"/>
      <c r="V20" s="121"/>
      <c r="W20" s="121"/>
      <c r="X20" s="121"/>
      <c r="Y20" s="121"/>
      <c r="Z20" s="121"/>
    </row>
    <row r="21" customFormat="false" ht="13.5" hidden="false" customHeight="true" outlineLevel="0" collapsed="false">
      <c r="A21" s="161"/>
      <c r="B21" s="97" t="s">
        <v>146</v>
      </c>
      <c r="C21" s="56"/>
      <c r="D21" s="99"/>
      <c r="E21" s="164"/>
      <c r="F21" s="150"/>
      <c r="G21" s="150"/>
      <c r="H21" s="150"/>
      <c r="I21" s="150"/>
      <c r="J21" s="150"/>
      <c r="K21" s="121"/>
      <c r="L21" s="121"/>
      <c r="M21" s="121"/>
      <c r="N21" s="121"/>
      <c r="O21" s="121"/>
      <c r="P21" s="121"/>
      <c r="Q21" s="121"/>
      <c r="R21" s="121"/>
      <c r="S21" s="121"/>
      <c r="T21" s="121"/>
      <c r="U21" s="121"/>
      <c r="V21" s="121"/>
      <c r="W21" s="121"/>
      <c r="X21" s="121"/>
      <c r="Y21" s="121"/>
      <c r="Z21" s="121"/>
    </row>
    <row r="22" customFormat="false" ht="13.5" hidden="false" customHeight="true" outlineLevel="0" collapsed="false">
      <c r="A22" s="161"/>
      <c r="B22" s="97"/>
      <c r="C22" s="56"/>
      <c r="D22" s="99"/>
      <c r="E22" s="164"/>
      <c r="F22" s="150"/>
      <c r="G22" s="150"/>
      <c r="H22" s="150"/>
      <c r="I22" s="150"/>
      <c r="J22" s="150"/>
      <c r="K22" s="121"/>
      <c r="L22" s="121"/>
      <c r="M22" s="121"/>
      <c r="N22" s="121"/>
      <c r="O22" s="121"/>
      <c r="P22" s="121"/>
      <c r="Q22" s="121"/>
      <c r="R22" s="121"/>
      <c r="S22" s="121"/>
      <c r="T22" s="121"/>
      <c r="U22" s="121"/>
      <c r="V22" s="121"/>
      <c r="W22" s="121"/>
      <c r="X22" s="121"/>
      <c r="Y22" s="121"/>
      <c r="Z22" s="121"/>
    </row>
    <row r="23" customFormat="false" ht="13.5" hidden="false" customHeight="true" outlineLevel="0" collapsed="false">
      <c r="A23" s="161"/>
      <c r="B23" s="97"/>
      <c r="C23" s="56"/>
      <c r="D23" s="99"/>
      <c r="E23" s="164"/>
      <c r="F23" s="150"/>
      <c r="G23" s="150"/>
      <c r="H23" s="150"/>
      <c r="I23" s="150"/>
      <c r="J23" s="150"/>
      <c r="K23" s="121"/>
      <c r="L23" s="121"/>
      <c r="M23" s="121"/>
      <c r="N23" s="121"/>
      <c r="O23" s="121"/>
      <c r="P23" s="121"/>
      <c r="Q23" s="121"/>
      <c r="R23" s="121"/>
      <c r="S23" s="121"/>
      <c r="T23" s="121"/>
      <c r="U23" s="121"/>
      <c r="V23" s="121"/>
      <c r="W23" s="121"/>
      <c r="X23" s="121"/>
      <c r="Y23" s="121"/>
      <c r="Z23" s="121"/>
    </row>
    <row r="24" customFormat="false" ht="13.5" hidden="false" customHeight="true" outlineLevel="0" collapsed="false">
      <c r="A24" s="161"/>
      <c r="B24" s="97" t="s">
        <v>116</v>
      </c>
      <c r="C24" s="56"/>
      <c r="D24" s="99" t="s">
        <v>147</v>
      </c>
      <c r="E24" s="164"/>
      <c r="F24" s="150" t="s">
        <v>106</v>
      </c>
      <c r="G24" s="150" t="s">
        <v>106</v>
      </c>
      <c r="H24" s="150" t="s">
        <v>106</v>
      </c>
      <c r="I24" s="150" t="s">
        <v>106</v>
      </c>
      <c r="J24" s="150"/>
      <c r="K24" s="121"/>
      <c r="L24" s="121"/>
      <c r="M24" s="121"/>
      <c r="N24" s="121"/>
      <c r="O24" s="121"/>
      <c r="P24" s="121"/>
      <c r="Q24" s="121"/>
      <c r="R24" s="121"/>
      <c r="S24" s="121"/>
      <c r="T24" s="121"/>
      <c r="U24" s="121"/>
      <c r="V24" s="121"/>
      <c r="W24" s="121"/>
      <c r="X24" s="121"/>
      <c r="Y24" s="121"/>
      <c r="Z24" s="121"/>
    </row>
    <row r="25" customFormat="false" ht="13.5" hidden="false" customHeight="true" outlineLevel="0" collapsed="false">
      <c r="A25" s="161"/>
      <c r="B25" s="165"/>
      <c r="C25" s="101"/>
      <c r="D25" s="166" t="s">
        <v>148</v>
      </c>
      <c r="E25" s="167"/>
      <c r="F25" s="168"/>
      <c r="G25" s="168"/>
      <c r="H25" s="168"/>
      <c r="I25" s="168" t="s">
        <v>106</v>
      </c>
      <c r="J25" s="168"/>
      <c r="K25" s="121"/>
      <c r="L25" s="121"/>
      <c r="M25" s="121"/>
      <c r="N25" s="121"/>
      <c r="O25" s="121"/>
      <c r="P25" s="121"/>
      <c r="Q25" s="121"/>
      <c r="R25" s="121"/>
      <c r="S25" s="121"/>
      <c r="T25" s="121"/>
      <c r="U25" s="121"/>
      <c r="V25" s="121"/>
      <c r="W25" s="121"/>
      <c r="X25" s="121"/>
      <c r="Y25" s="121"/>
      <c r="Z25" s="121"/>
    </row>
    <row r="26" customFormat="false" ht="13.5" hidden="false" customHeight="true" outlineLevel="0" collapsed="false">
      <c r="A26" s="161"/>
      <c r="B26" s="165"/>
      <c r="C26" s="101"/>
      <c r="D26" s="166" t="s">
        <v>149</v>
      </c>
      <c r="E26" s="167"/>
      <c r="F26" s="168" t="s">
        <v>106</v>
      </c>
      <c r="G26" s="168" t="s">
        <v>106</v>
      </c>
      <c r="H26" s="168" t="s">
        <v>106</v>
      </c>
      <c r="I26" s="168" t="s">
        <v>106</v>
      </c>
      <c r="J26" s="168" t="s">
        <v>106</v>
      </c>
      <c r="K26" s="121"/>
      <c r="L26" s="121"/>
      <c r="M26" s="121"/>
      <c r="N26" s="121"/>
      <c r="O26" s="121"/>
      <c r="P26" s="121"/>
      <c r="Q26" s="121"/>
      <c r="R26" s="121"/>
      <c r="S26" s="121"/>
      <c r="T26" s="121"/>
      <c r="U26" s="121"/>
      <c r="V26" s="121"/>
      <c r="W26" s="121"/>
      <c r="X26" s="121"/>
      <c r="Y26" s="121"/>
      <c r="Z26" s="121"/>
    </row>
    <row r="27" customFormat="false" ht="13.5" hidden="false" customHeight="true" outlineLevel="0" collapsed="false">
      <c r="A27" s="161"/>
      <c r="B27" s="97"/>
      <c r="C27" s="162"/>
      <c r="D27" s="99"/>
      <c r="E27" s="163"/>
      <c r="F27" s="150"/>
      <c r="G27" s="150"/>
      <c r="H27" s="150"/>
      <c r="I27" s="150"/>
      <c r="J27" s="150"/>
      <c r="K27" s="121"/>
      <c r="L27" s="121"/>
      <c r="M27" s="121"/>
      <c r="N27" s="121"/>
      <c r="O27" s="121"/>
      <c r="P27" s="121"/>
      <c r="Q27" s="121"/>
      <c r="R27" s="121"/>
      <c r="S27" s="121"/>
      <c r="T27" s="121"/>
      <c r="U27" s="121"/>
      <c r="V27" s="121"/>
      <c r="W27" s="121"/>
      <c r="X27" s="121"/>
      <c r="Y27" s="121"/>
      <c r="Z27" s="121"/>
    </row>
    <row r="28" customFormat="false" ht="13.5" hidden="false" customHeight="true" outlineLevel="0" collapsed="false">
      <c r="A28" s="161"/>
      <c r="B28" s="169"/>
      <c r="C28" s="170"/>
      <c r="D28" s="102"/>
      <c r="E28" s="171"/>
      <c r="F28" s="172"/>
      <c r="G28" s="172"/>
      <c r="H28" s="172"/>
      <c r="I28" s="172"/>
      <c r="J28" s="172"/>
      <c r="K28" s="121"/>
      <c r="L28" s="121"/>
      <c r="M28" s="121"/>
      <c r="N28" s="121"/>
      <c r="O28" s="121"/>
      <c r="P28" s="121"/>
      <c r="Q28" s="121"/>
      <c r="R28" s="121"/>
      <c r="S28" s="121"/>
      <c r="T28" s="121"/>
      <c r="U28" s="121"/>
      <c r="V28" s="121"/>
      <c r="W28" s="121"/>
      <c r="X28" s="121"/>
      <c r="Y28" s="121"/>
      <c r="Z28" s="121"/>
    </row>
    <row r="29" customFormat="false" ht="13.5" hidden="false" customHeight="true" outlineLevel="0" collapsed="false">
      <c r="A29" s="87" t="s">
        <v>120</v>
      </c>
      <c r="B29" s="173" t="s">
        <v>121</v>
      </c>
      <c r="C29" s="173"/>
      <c r="D29" s="173"/>
      <c r="E29" s="173"/>
      <c r="F29" s="174" t="s">
        <v>122</v>
      </c>
      <c r="G29" s="174" t="s">
        <v>122</v>
      </c>
      <c r="H29" s="174" t="s">
        <v>122</v>
      </c>
      <c r="I29" s="174" t="s">
        <v>150</v>
      </c>
      <c r="J29" s="174" t="s">
        <v>66</v>
      </c>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61"/>
      <c r="B30" s="175" t="s">
        <v>123</v>
      </c>
      <c r="C30" s="175"/>
      <c r="D30" s="175"/>
      <c r="E30" s="176"/>
      <c r="F30" s="177" t="s">
        <v>124</v>
      </c>
      <c r="G30" s="177" t="s">
        <v>124</v>
      </c>
      <c r="H30" s="177" t="s">
        <v>124</v>
      </c>
      <c r="I30" s="177" t="s">
        <v>124</v>
      </c>
      <c r="J30" s="177" t="s">
        <v>124</v>
      </c>
      <c r="K30" s="121"/>
      <c r="L30" s="121"/>
      <c r="M30" s="121"/>
      <c r="N30" s="121"/>
      <c r="O30" s="121"/>
      <c r="P30" s="121"/>
      <c r="Q30" s="121"/>
      <c r="R30" s="121"/>
      <c r="S30" s="121"/>
      <c r="T30" s="121"/>
      <c r="U30" s="121"/>
      <c r="V30" s="121"/>
      <c r="W30" s="121"/>
      <c r="X30" s="121"/>
      <c r="Y30" s="121"/>
      <c r="Z30" s="121"/>
    </row>
    <row r="31" customFormat="false" ht="57" hidden="false" customHeight="true" outlineLevel="0" collapsed="false">
      <c r="A31" s="161"/>
      <c r="B31" s="178" t="s">
        <v>125</v>
      </c>
      <c r="C31" s="178"/>
      <c r="D31" s="178"/>
      <c r="E31" s="112"/>
      <c r="F31" s="179" t="n">
        <v>46043</v>
      </c>
      <c r="G31" s="179" t="n">
        <v>46043</v>
      </c>
      <c r="H31" s="179" t="n">
        <v>46043</v>
      </c>
      <c r="I31" s="179" t="n">
        <v>46043</v>
      </c>
      <c r="J31" s="179" t="n">
        <v>46043</v>
      </c>
      <c r="K31" s="121"/>
      <c r="L31" s="121"/>
      <c r="M31" s="121"/>
      <c r="N31" s="121"/>
      <c r="O31" s="121"/>
      <c r="P31" s="121"/>
      <c r="Q31" s="121"/>
      <c r="R31" s="121"/>
      <c r="S31" s="121"/>
      <c r="T31" s="121"/>
      <c r="U31" s="121"/>
      <c r="V31" s="121"/>
      <c r="W31" s="121"/>
      <c r="X31" s="121"/>
      <c r="Y31" s="121"/>
      <c r="Z31" s="121"/>
    </row>
    <row r="32" customFormat="false" ht="79.5" hidden="false" customHeight="true" outlineLevel="0" collapsed="false">
      <c r="A32" s="180"/>
      <c r="B32" s="181" t="s">
        <v>126</v>
      </c>
      <c r="C32" s="181"/>
      <c r="D32" s="181"/>
      <c r="E32" s="182"/>
      <c r="F32" s="183" t="s">
        <v>127</v>
      </c>
      <c r="G32" s="183" t="s">
        <v>128</v>
      </c>
      <c r="H32" s="183" t="s">
        <v>129</v>
      </c>
      <c r="I32" s="183" t="s">
        <v>130</v>
      </c>
      <c r="J32" s="183" t="s">
        <v>131</v>
      </c>
      <c r="K32" s="121"/>
      <c r="L32" s="121"/>
      <c r="M32" s="121"/>
      <c r="N32" s="121"/>
      <c r="O32" s="121"/>
      <c r="P32" s="121"/>
      <c r="Q32" s="121"/>
      <c r="R32" s="121"/>
      <c r="S32" s="121"/>
      <c r="T32" s="121"/>
      <c r="U32" s="121"/>
      <c r="V32" s="121"/>
      <c r="W32" s="121"/>
      <c r="X32" s="121"/>
      <c r="Y32" s="121"/>
      <c r="Z32" s="121"/>
    </row>
    <row r="33" customFormat="false" ht="12" hidden="false" customHeight="true" outlineLevel="0" collapsed="false">
      <c r="A33" s="122"/>
      <c r="B33" s="121"/>
      <c r="C33" s="140"/>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ustomFormat="false" ht="13.5" hidden="false" customHeight="true" outlineLevel="0" collapsed="false">
      <c r="A988" s="121"/>
      <c r="B988" s="122"/>
      <c r="C988" s="121"/>
      <c r="D988" s="140"/>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ustomFormat="false" ht="13.5" hidden="false" customHeight="true" outlineLevel="0" collapsed="false">
      <c r="A989" s="121"/>
      <c r="B989" s="122"/>
      <c r="C989" s="121"/>
      <c r="D989" s="140"/>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ustomFormat="false" ht="13.5" hidden="false" customHeight="true" outlineLevel="0" collapsed="false">
      <c r="A990" s="121"/>
      <c r="B990" s="122"/>
      <c r="C990" s="121"/>
      <c r="D990" s="140"/>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sheetData>
  <mergeCells count="27">
    <mergeCell ref="A2:B2"/>
    <mergeCell ref="C2:D2"/>
    <mergeCell ref="F2:K2"/>
    <mergeCell ref="L2:T2"/>
    <mergeCell ref="A3:B3"/>
    <mergeCell ref="C3:E3"/>
    <mergeCell ref="F3:K3"/>
    <mergeCell ref="L3:P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9:D29"/>
    <mergeCell ref="B30:D30"/>
    <mergeCell ref="B31:D31"/>
    <mergeCell ref="B32:D32"/>
  </mergeCells>
  <dataValidations count="3">
    <dataValidation allowBlank="true" errorStyle="stop" operator="between" prompt=" - " showDropDown="false" showErrorMessage="true" showInputMessage="true" sqref="F10:J28" type="list">
      <formula1>"O"</formula1>
      <formula2>0</formula2>
    </dataValidation>
    <dataValidation allowBlank="true" errorStyle="stop" operator="between" prompt=" - " showDropDown="false" showErrorMessage="true" showInputMessage="true" sqref="F30:J30" type="list">
      <formula1>"P,F"</formula1>
      <formula2>0</formula2>
    </dataValidation>
    <dataValidation allowBlank="true" errorStyle="stop" operator="between" prompt=" - " showDropDown="false" showErrorMessage="true" showInputMessage="true" sqref="F29:J29"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26.5"/>
    <col collapsed="false" customWidth="true" hidden="true" outlineLevel="0" max="5" min="5" style="1" width="1.88"/>
    <col collapsed="false" customWidth="true" hidden="false" outlineLevel="0" max="9" min="6" style="1" width="5.13"/>
    <col collapsed="false" customWidth="true" hidden="false" outlineLevel="0" max="10" min="10" style="1" width="4.5"/>
    <col collapsed="false" customWidth="true" hidden="false" outlineLevel="0" max="21" min="11"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151</v>
      </c>
      <c r="D2" s="125"/>
      <c r="E2" s="126"/>
      <c r="F2" s="127" t="s">
        <v>82</v>
      </c>
      <c r="G2" s="127"/>
      <c r="H2" s="127"/>
      <c r="I2" s="127"/>
      <c r="J2" s="127"/>
      <c r="K2" s="127"/>
      <c r="L2" s="128" t="s">
        <v>151</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30" t="s">
        <v>85</v>
      </c>
      <c r="M3" s="130"/>
      <c r="N3" s="130"/>
      <c r="O3" s="130"/>
      <c r="P3" s="130"/>
      <c r="Q3" s="52"/>
      <c r="R3" s="52"/>
      <c r="S3" s="52"/>
      <c r="T3" s="133"/>
      <c r="U3" s="121"/>
      <c r="V3" s="121"/>
      <c r="W3" s="121"/>
      <c r="X3" s="121"/>
      <c r="Y3" s="121"/>
      <c r="Z3" s="121"/>
    </row>
    <row r="4" customFormat="false" ht="13.5" hidden="false" customHeight="true" outlineLevel="0" collapsed="false">
      <c r="A4" s="134" t="s">
        <v>87</v>
      </c>
      <c r="B4" s="134"/>
      <c r="C4" s="55" t="n">
        <v>120</v>
      </c>
      <c r="D4" s="55"/>
      <c r="E4" s="135"/>
      <c r="F4" s="136" t="s">
        <v>88</v>
      </c>
      <c r="G4" s="136"/>
      <c r="H4" s="136"/>
      <c r="I4" s="136"/>
      <c r="J4" s="136"/>
      <c r="K4" s="136"/>
      <c r="L4" s="57" t="n">
        <v>7</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152</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COUNTIF(F30:HQ30,"P")</f>
        <v>5</v>
      </c>
      <c r="B7" s="63"/>
      <c r="C7" s="64" t="n">
        <f aca="false">COUNTIF(F30:HQ30,"F")</f>
        <v>0</v>
      </c>
      <c r="D7" s="64"/>
      <c r="E7" s="64"/>
      <c r="F7" s="64" t="n">
        <f aca="false">SUM(O7,-A7,-C7)</f>
        <v>0</v>
      </c>
      <c r="G7" s="64"/>
      <c r="H7" s="64"/>
      <c r="I7" s="64"/>
      <c r="J7" s="64"/>
      <c r="K7" s="64"/>
      <c r="L7" s="65" t="n">
        <f aca="false">COUNTIF(E29:HQ29,"N")</f>
        <v>3</v>
      </c>
      <c r="M7" s="65" t="n">
        <f aca="false">COUNTIF(E29:HQ29,"A")</f>
        <v>1</v>
      </c>
      <c r="N7" s="65" t="n">
        <f aca="false">COUNTIF(E29:HQ29,"B")</f>
        <v>1</v>
      </c>
      <c r="O7" s="66" t="n">
        <f aca="false">COUNTA(E9:HT9)</f>
        <v>5</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21"/>
      <c r="L9" s="121"/>
      <c r="M9" s="121"/>
      <c r="N9" s="121"/>
      <c r="O9" s="121"/>
      <c r="P9" s="121"/>
      <c r="Q9" s="121"/>
      <c r="R9" s="121"/>
      <c r="S9" s="121"/>
      <c r="T9" s="121"/>
      <c r="U9" s="146"/>
      <c r="V9" s="137"/>
      <c r="W9" s="121"/>
      <c r="X9" s="121"/>
      <c r="Y9" s="121"/>
      <c r="Z9" s="121"/>
    </row>
    <row r="10" customFormat="false" ht="13.5" hidden="false" customHeight="true" outlineLevel="0" collapsed="false">
      <c r="A10" s="71" t="s">
        <v>103</v>
      </c>
      <c r="B10" s="147" t="s">
        <v>104</v>
      </c>
      <c r="C10" s="148"/>
      <c r="D10" s="80"/>
      <c r="E10" s="149"/>
      <c r="F10" s="150"/>
      <c r="G10" s="150"/>
      <c r="H10" s="150"/>
      <c r="I10" s="150"/>
      <c r="J10" s="150"/>
      <c r="K10" s="121"/>
      <c r="L10" s="121"/>
      <c r="M10" s="121"/>
      <c r="N10" s="121"/>
      <c r="O10" s="121"/>
      <c r="P10" s="121"/>
      <c r="Q10" s="121"/>
      <c r="R10" s="121"/>
      <c r="S10" s="121"/>
      <c r="T10" s="121"/>
      <c r="U10" s="121"/>
      <c r="V10" s="121"/>
      <c r="W10" s="121"/>
      <c r="X10" s="121"/>
      <c r="Y10" s="121"/>
      <c r="Z10" s="121"/>
    </row>
    <row r="11" customFormat="false" ht="13.5" hidden="false" customHeight="true" outlineLevel="0" collapsed="false">
      <c r="A11" s="151"/>
      <c r="B11" s="147"/>
      <c r="C11" s="148"/>
      <c r="D11" s="80" t="s">
        <v>153</v>
      </c>
      <c r="E11" s="152"/>
      <c r="F11" s="150" t="s">
        <v>106</v>
      </c>
      <c r="G11" s="150"/>
      <c r="H11" s="150"/>
      <c r="I11" s="150"/>
      <c r="J11" s="150"/>
      <c r="K11" s="121"/>
      <c r="L11" s="121"/>
      <c r="M11" s="121"/>
      <c r="N11" s="121"/>
      <c r="O11" s="121"/>
      <c r="P11" s="121"/>
      <c r="Q11" s="121"/>
      <c r="R11" s="121"/>
      <c r="S11" s="121"/>
      <c r="T11" s="121"/>
      <c r="U11" s="121"/>
      <c r="V11" s="137"/>
      <c r="W11" s="121"/>
      <c r="X11" s="121"/>
      <c r="Y11" s="121"/>
      <c r="Z11" s="121"/>
    </row>
    <row r="12" customFormat="false" ht="13.5" hidden="false" customHeight="true" outlineLevel="0" collapsed="false">
      <c r="A12" s="151"/>
      <c r="B12" s="147"/>
      <c r="C12" s="148"/>
      <c r="D12" s="80" t="s">
        <v>154</v>
      </c>
      <c r="E12" s="152"/>
      <c r="F12" s="150"/>
      <c r="G12" s="150" t="s">
        <v>106</v>
      </c>
      <c r="H12" s="150" t="s">
        <v>106</v>
      </c>
      <c r="I12" s="150" t="s">
        <v>106</v>
      </c>
      <c r="J12" s="150" t="s">
        <v>106</v>
      </c>
      <c r="K12" s="121"/>
      <c r="L12" s="121"/>
      <c r="M12" s="121"/>
      <c r="N12" s="121"/>
      <c r="O12" s="121"/>
      <c r="P12" s="121"/>
      <c r="Q12" s="121"/>
      <c r="R12" s="121"/>
      <c r="S12" s="121"/>
      <c r="T12" s="121"/>
      <c r="U12" s="121"/>
      <c r="V12" s="121"/>
      <c r="W12" s="121"/>
      <c r="X12" s="121"/>
      <c r="Y12" s="121"/>
      <c r="Z12" s="121"/>
    </row>
    <row r="13" customFormat="false" ht="13.5" hidden="false" customHeight="true" outlineLevel="0" collapsed="false">
      <c r="A13" s="151"/>
      <c r="B13" s="147"/>
      <c r="C13" s="148"/>
      <c r="D13" s="80" t="s">
        <v>155</v>
      </c>
      <c r="E13" s="153"/>
      <c r="F13" s="150"/>
      <c r="G13" s="150"/>
      <c r="H13" s="150" t="s">
        <v>106</v>
      </c>
      <c r="I13" s="150" t="s">
        <v>106</v>
      </c>
      <c r="J13" s="150"/>
      <c r="K13" s="121"/>
      <c r="L13" s="121"/>
      <c r="M13" s="121"/>
      <c r="N13" s="121"/>
      <c r="O13" s="121"/>
      <c r="P13" s="121"/>
      <c r="Q13" s="121"/>
      <c r="R13" s="121"/>
      <c r="S13" s="121"/>
      <c r="T13" s="121"/>
      <c r="U13" s="121"/>
      <c r="V13" s="137"/>
      <c r="W13" s="121"/>
      <c r="X13" s="121"/>
      <c r="Y13" s="121"/>
      <c r="Z13" s="121"/>
    </row>
    <row r="14" customFormat="false" ht="13.5" hidden="false" customHeight="true" outlineLevel="0" collapsed="false">
      <c r="A14" s="151"/>
      <c r="B14" s="147"/>
      <c r="C14" s="148"/>
      <c r="D14" s="80" t="s">
        <v>156</v>
      </c>
      <c r="E14" s="154"/>
      <c r="F14" s="150"/>
      <c r="G14" s="150" t="s">
        <v>106</v>
      </c>
      <c r="H14" s="150"/>
      <c r="I14" s="150"/>
      <c r="J14" s="150"/>
      <c r="K14" s="121"/>
      <c r="L14" s="121"/>
      <c r="M14" s="121"/>
      <c r="N14" s="121"/>
      <c r="O14" s="121"/>
      <c r="P14" s="121"/>
      <c r="Q14" s="121"/>
      <c r="R14" s="121"/>
      <c r="S14" s="121"/>
      <c r="T14" s="121"/>
      <c r="U14" s="121"/>
      <c r="V14" s="121"/>
      <c r="W14" s="121"/>
      <c r="X14" s="121"/>
      <c r="Y14" s="121"/>
      <c r="Z14" s="121"/>
    </row>
    <row r="15" customFormat="false" ht="13.5" hidden="false" customHeight="true" outlineLevel="0" collapsed="false">
      <c r="A15" s="151"/>
      <c r="B15" s="155"/>
      <c r="C15" s="156"/>
      <c r="D15" s="86" t="s">
        <v>157</v>
      </c>
      <c r="E15" s="154"/>
      <c r="F15" s="157"/>
      <c r="G15" s="157"/>
      <c r="H15" s="157"/>
      <c r="I15" s="157"/>
      <c r="J15" s="157" t="s">
        <v>106</v>
      </c>
      <c r="K15" s="121"/>
      <c r="L15" s="121"/>
      <c r="M15" s="121"/>
      <c r="N15" s="121"/>
      <c r="O15" s="121"/>
      <c r="P15" s="121"/>
      <c r="Q15" s="121"/>
      <c r="R15" s="121"/>
      <c r="S15" s="121"/>
      <c r="T15" s="121"/>
      <c r="U15" s="121"/>
      <c r="V15" s="121"/>
      <c r="W15" s="121"/>
      <c r="X15" s="121"/>
      <c r="Y15" s="121"/>
      <c r="Z15" s="121"/>
    </row>
    <row r="16" customFormat="false" ht="13.5" hidden="false" customHeight="true" outlineLevel="0" collapsed="false">
      <c r="A16" s="151"/>
      <c r="B16" s="155"/>
      <c r="C16" s="156"/>
      <c r="D16" s="86"/>
      <c r="E16" s="154"/>
      <c r="F16" s="157"/>
      <c r="G16" s="157"/>
      <c r="H16" s="157"/>
      <c r="I16" s="157"/>
      <c r="J16" s="157"/>
      <c r="K16" s="121"/>
      <c r="L16" s="121"/>
      <c r="M16" s="121"/>
      <c r="N16" s="121"/>
      <c r="O16" s="121"/>
      <c r="P16" s="121"/>
      <c r="Q16" s="121"/>
      <c r="R16" s="121"/>
      <c r="S16" s="121"/>
      <c r="T16" s="121"/>
      <c r="U16" s="121"/>
      <c r="V16" s="121"/>
      <c r="W16" s="121"/>
      <c r="X16" s="121"/>
      <c r="Y16" s="121"/>
      <c r="Z16" s="121"/>
    </row>
    <row r="17" customFormat="false" ht="13.5" hidden="false" customHeight="true" outlineLevel="0" collapsed="false">
      <c r="A17" s="151"/>
      <c r="B17" s="155"/>
      <c r="C17" s="156"/>
      <c r="D17" s="86"/>
      <c r="E17" s="154"/>
      <c r="F17" s="157"/>
      <c r="G17" s="157"/>
      <c r="H17" s="157"/>
      <c r="I17" s="157"/>
      <c r="J17" s="157"/>
      <c r="K17" s="121"/>
      <c r="L17" s="121"/>
      <c r="M17" s="121"/>
      <c r="N17" s="121"/>
      <c r="O17" s="121"/>
      <c r="P17" s="121"/>
      <c r="Q17" s="121"/>
      <c r="R17" s="121"/>
      <c r="S17" s="121"/>
      <c r="T17" s="121"/>
      <c r="U17" s="121"/>
      <c r="V17" s="121"/>
      <c r="W17" s="121"/>
      <c r="X17" s="121"/>
      <c r="Y17" s="121"/>
      <c r="Z17" s="121"/>
    </row>
    <row r="18" customFormat="false" ht="13.5" hidden="false" customHeight="true" outlineLevel="0" collapsed="false">
      <c r="A18" s="151"/>
      <c r="B18" s="155"/>
      <c r="C18" s="156"/>
      <c r="D18" s="86"/>
      <c r="E18" s="154"/>
      <c r="F18" s="157"/>
      <c r="G18" s="157"/>
      <c r="H18" s="157"/>
      <c r="I18" s="157"/>
      <c r="J18" s="157"/>
      <c r="K18" s="121"/>
      <c r="L18" s="121"/>
      <c r="M18" s="121"/>
      <c r="N18" s="121"/>
      <c r="O18" s="121"/>
      <c r="P18" s="121"/>
      <c r="Q18" s="121"/>
      <c r="R18" s="121"/>
      <c r="S18" s="121"/>
      <c r="T18" s="121"/>
      <c r="U18" s="121"/>
      <c r="V18" s="121"/>
      <c r="W18" s="121"/>
      <c r="X18" s="121"/>
      <c r="Y18" s="121"/>
      <c r="Z18" s="121"/>
    </row>
    <row r="19" customFormat="false" ht="13.5" hidden="false" customHeight="true" outlineLevel="0" collapsed="false">
      <c r="A19" s="87" t="s">
        <v>111</v>
      </c>
      <c r="B19" s="88" t="s">
        <v>112</v>
      </c>
      <c r="C19" s="158"/>
      <c r="D19" s="159"/>
      <c r="E19" s="160"/>
      <c r="F19" s="157"/>
      <c r="G19" s="157"/>
      <c r="H19" s="157"/>
      <c r="I19" s="157"/>
      <c r="J19" s="157"/>
      <c r="K19" s="121"/>
      <c r="L19" s="121"/>
      <c r="M19" s="121"/>
      <c r="N19" s="121"/>
      <c r="O19" s="121"/>
      <c r="P19" s="121"/>
      <c r="Q19" s="121"/>
      <c r="R19" s="121"/>
      <c r="S19" s="121"/>
      <c r="T19" s="121"/>
      <c r="U19" s="121"/>
      <c r="V19" s="121"/>
      <c r="W19" s="121"/>
      <c r="X19" s="121"/>
      <c r="Y19" s="121"/>
      <c r="Z19" s="121"/>
    </row>
    <row r="20" customFormat="false" ht="13.5" hidden="false" customHeight="true" outlineLevel="0" collapsed="false">
      <c r="A20" s="161"/>
      <c r="B20" s="97"/>
      <c r="C20" s="162"/>
      <c r="D20" s="99" t="s">
        <v>158</v>
      </c>
      <c r="E20" s="163"/>
      <c r="F20" s="150" t="s">
        <v>106</v>
      </c>
      <c r="G20" s="150" t="s">
        <v>106</v>
      </c>
      <c r="H20" s="150" t="s">
        <v>106</v>
      </c>
      <c r="I20" s="150" t="s">
        <v>106</v>
      </c>
      <c r="J20" s="150" t="s">
        <v>106</v>
      </c>
      <c r="K20" s="121"/>
      <c r="L20" s="121"/>
      <c r="M20" s="121"/>
      <c r="N20" s="121"/>
      <c r="O20" s="121"/>
      <c r="P20" s="121"/>
      <c r="Q20" s="121"/>
      <c r="R20" s="121"/>
      <c r="S20" s="121"/>
      <c r="T20" s="121"/>
      <c r="U20" s="121"/>
      <c r="V20" s="121"/>
      <c r="W20" s="121"/>
      <c r="X20" s="121"/>
      <c r="Y20" s="121"/>
      <c r="Z20" s="121"/>
    </row>
    <row r="21" customFormat="false" ht="13.5" hidden="false" customHeight="true" outlineLevel="0" collapsed="false">
      <c r="A21" s="161"/>
      <c r="B21" s="97"/>
      <c r="C21" s="56"/>
      <c r="D21" s="99" t="s">
        <v>159</v>
      </c>
      <c r="E21" s="164"/>
      <c r="F21" s="150"/>
      <c r="G21" s="150" t="s">
        <v>106</v>
      </c>
      <c r="H21" s="150" t="s">
        <v>106</v>
      </c>
      <c r="I21" s="150" t="s">
        <v>106</v>
      </c>
      <c r="J21" s="150"/>
      <c r="K21" s="121"/>
      <c r="L21" s="121"/>
      <c r="M21" s="121"/>
      <c r="N21" s="121"/>
      <c r="O21" s="121"/>
      <c r="P21" s="121"/>
      <c r="Q21" s="121"/>
      <c r="R21" s="121"/>
      <c r="S21" s="121"/>
      <c r="T21" s="121"/>
      <c r="U21" s="121"/>
      <c r="V21" s="121"/>
      <c r="W21" s="121"/>
      <c r="X21" s="121"/>
      <c r="Y21" s="121"/>
      <c r="Z21" s="121"/>
    </row>
    <row r="22" customFormat="false" ht="13.5" hidden="false" customHeight="true" outlineLevel="0" collapsed="false">
      <c r="A22" s="161"/>
      <c r="B22" s="97"/>
      <c r="C22" s="56"/>
      <c r="D22" s="99" t="s">
        <v>160</v>
      </c>
      <c r="E22" s="164"/>
      <c r="F22" s="150"/>
      <c r="G22" s="150" t="s">
        <v>106</v>
      </c>
      <c r="H22" s="150" t="s">
        <v>106</v>
      </c>
      <c r="I22" s="150" t="s">
        <v>106</v>
      </c>
      <c r="J22" s="150" t="s">
        <v>106</v>
      </c>
      <c r="K22" s="121"/>
      <c r="L22" s="121"/>
      <c r="M22" s="121"/>
      <c r="N22" s="121"/>
      <c r="O22" s="121"/>
      <c r="P22" s="121"/>
      <c r="Q22" s="121"/>
      <c r="R22" s="121"/>
      <c r="S22" s="121"/>
      <c r="T22" s="121"/>
      <c r="U22" s="121"/>
      <c r="V22" s="121"/>
      <c r="W22" s="121"/>
      <c r="X22" s="121"/>
      <c r="Y22" s="121"/>
      <c r="Z22" s="121"/>
    </row>
    <row r="23" customFormat="false" ht="13.5" hidden="false" customHeight="true" outlineLevel="0" collapsed="false">
      <c r="A23" s="161"/>
      <c r="B23" s="97"/>
      <c r="C23" s="56"/>
      <c r="D23" s="99"/>
      <c r="E23" s="164"/>
      <c r="F23" s="150"/>
      <c r="G23" s="150"/>
      <c r="H23" s="150"/>
      <c r="I23" s="150"/>
      <c r="J23" s="150"/>
      <c r="K23" s="121"/>
      <c r="L23" s="121"/>
      <c r="M23" s="121"/>
      <c r="N23" s="121"/>
      <c r="O23" s="121"/>
      <c r="P23" s="121"/>
      <c r="Q23" s="121"/>
      <c r="R23" s="121"/>
      <c r="S23" s="121"/>
      <c r="T23" s="121"/>
      <c r="U23" s="121"/>
      <c r="V23" s="121"/>
      <c r="W23" s="121"/>
      <c r="X23" s="121"/>
      <c r="Y23" s="121"/>
      <c r="Z23" s="121"/>
    </row>
    <row r="24" customFormat="false" ht="13.5" hidden="false" customHeight="true" outlineLevel="0" collapsed="false">
      <c r="A24" s="161"/>
      <c r="B24" s="97"/>
      <c r="C24" s="56"/>
      <c r="D24" s="99"/>
      <c r="E24" s="164"/>
      <c r="F24" s="150"/>
      <c r="G24" s="150"/>
      <c r="H24" s="150"/>
      <c r="I24" s="150"/>
      <c r="J24" s="150"/>
      <c r="K24" s="121"/>
      <c r="L24" s="121"/>
      <c r="M24" s="121"/>
      <c r="N24" s="121"/>
      <c r="O24" s="121"/>
      <c r="P24" s="121"/>
      <c r="Q24" s="121"/>
      <c r="R24" s="121"/>
      <c r="S24" s="121"/>
      <c r="T24" s="121"/>
      <c r="U24" s="121"/>
      <c r="V24" s="121"/>
      <c r="W24" s="121"/>
      <c r="X24" s="121"/>
      <c r="Y24" s="121"/>
      <c r="Z24" s="121"/>
    </row>
    <row r="25" customFormat="false" ht="13.5" hidden="false" customHeight="true" outlineLevel="0" collapsed="false">
      <c r="A25" s="161"/>
      <c r="B25" s="97" t="s">
        <v>116</v>
      </c>
      <c r="C25" s="56"/>
      <c r="D25" s="99"/>
      <c r="E25" s="164"/>
      <c r="F25" s="150"/>
      <c r="G25" s="150"/>
      <c r="H25" s="150"/>
      <c r="I25" s="150"/>
      <c r="J25" s="150"/>
      <c r="K25" s="121"/>
      <c r="L25" s="121"/>
      <c r="M25" s="121"/>
      <c r="N25" s="121"/>
      <c r="O25" s="121"/>
      <c r="P25" s="121"/>
      <c r="Q25" s="121"/>
      <c r="R25" s="121"/>
      <c r="S25" s="121"/>
      <c r="T25" s="121"/>
      <c r="U25" s="121"/>
      <c r="V25" s="121"/>
      <c r="W25" s="121"/>
      <c r="X25" s="121"/>
      <c r="Y25" s="121"/>
      <c r="Z25" s="121"/>
    </row>
    <row r="26" customFormat="false" ht="13.5" hidden="false" customHeight="true" outlineLevel="0" collapsed="false">
      <c r="A26" s="161"/>
      <c r="B26" s="97"/>
      <c r="C26" s="56"/>
      <c r="D26" s="99" t="s">
        <v>161</v>
      </c>
      <c r="E26" s="164"/>
      <c r="F26" s="150"/>
      <c r="G26" s="150" t="s">
        <v>106</v>
      </c>
      <c r="H26" s="150" t="s">
        <v>106</v>
      </c>
      <c r="I26" s="150" t="s">
        <v>106</v>
      </c>
      <c r="J26" s="150"/>
      <c r="K26" s="121"/>
      <c r="L26" s="121"/>
      <c r="M26" s="121"/>
      <c r="N26" s="121"/>
      <c r="O26" s="121"/>
      <c r="P26" s="121"/>
      <c r="Q26" s="121"/>
      <c r="R26" s="121"/>
      <c r="S26" s="121"/>
      <c r="T26" s="121"/>
      <c r="U26" s="121"/>
      <c r="V26" s="121"/>
      <c r="W26" s="121"/>
      <c r="X26" s="121"/>
      <c r="Y26" s="121"/>
      <c r="Z26" s="121"/>
    </row>
    <row r="27" customFormat="false" ht="13.5" hidden="false" customHeight="true" outlineLevel="0" collapsed="false">
      <c r="A27" s="161"/>
      <c r="B27" s="165"/>
      <c r="C27" s="101"/>
      <c r="D27" s="166" t="s">
        <v>162</v>
      </c>
      <c r="E27" s="167"/>
      <c r="F27" s="168"/>
      <c r="G27" s="168" t="s">
        <v>106</v>
      </c>
      <c r="H27" s="168" t="s">
        <v>106</v>
      </c>
      <c r="I27" s="168" t="s">
        <v>106</v>
      </c>
      <c r="J27" s="168"/>
      <c r="K27" s="121"/>
      <c r="L27" s="121"/>
      <c r="M27" s="121"/>
      <c r="N27" s="121"/>
      <c r="O27" s="121"/>
      <c r="P27" s="121"/>
      <c r="Q27" s="121"/>
      <c r="R27" s="121"/>
      <c r="S27" s="121"/>
      <c r="T27" s="121"/>
      <c r="U27" s="121"/>
      <c r="V27" s="121"/>
      <c r="W27" s="121"/>
      <c r="X27" s="121"/>
      <c r="Y27" s="121"/>
      <c r="Z27" s="121"/>
    </row>
    <row r="28" customFormat="false" ht="13.5" hidden="false" customHeight="true" outlineLevel="0" collapsed="false">
      <c r="A28" s="161"/>
      <c r="B28" s="97"/>
      <c r="C28" s="162"/>
      <c r="D28" s="99" t="s">
        <v>163</v>
      </c>
      <c r="E28" s="163"/>
      <c r="F28" s="150" t="s">
        <v>106</v>
      </c>
      <c r="G28" s="150"/>
      <c r="H28" s="150"/>
      <c r="I28" s="150"/>
      <c r="J28" s="150" t="s">
        <v>106</v>
      </c>
      <c r="K28" s="121"/>
      <c r="L28" s="121"/>
      <c r="M28" s="121"/>
      <c r="N28" s="121"/>
      <c r="O28" s="121"/>
      <c r="P28" s="121"/>
      <c r="Q28" s="121"/>
      <c r="R28" s="121"/>
      <c r="S28" s="121"/>
      <c r="T28" s="121"/>
      <c r="U28" s="121"/>
      <c r="V28" s="121"/>
      <c r="W28" s="121"/>
      <c r="X28" s="121"/>
      <c r="Y28" s="121"/>
      <c r="Z28" s="121"/>
    </row>
    <row r="29" customFormat="false" ht="13.5" hidden="false" customHeight="true" outlineLevel="0" collapsed="false">
      <c r="A29" s="87" t="s">
        <v>120</v>
      </c>
      <c r="B29" s="173" t="s">
        <v>121</v>
      </c>
      <c r="C29" s="173"/>
      <c r="D29" s="173"/>
      <c r="E29" s="173"/>
      <c r="F29" s="174" t="s">
        <v>66</v>
      </c>
      <c r="G29" s="174" t="s">
        <v>122</v>
      </c>
      <c r="H29" s="174" t="s">
        <v>122</v>
      </c>
      <c r="I29" s="174" t="s">
        <v>122</v>
      </c>
      <c r="J29" s="174" t="s">
        <v>150</v>
      </c>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61"/>
      <c r="B30" s="175" t="s">
        <v>123</v>
      </c>
      <c r="C30" s="175"/>
      <c r="D30" s="175"/>
      <c r="E30" s="176"/>
      <c r="F30" s="177" t="s">
        <v>124</v>
      </c>
      <c r="G30" s="177" t="s">
        <v>124</v>
      </c>
      <c r="H30" s="177" t="s">
        <v>124</v>
      </c>
      <c r="I30" s="177" t="s">
        <v>124</v>
      </c>
      <c r="J30" s="177" t="s">
        <v>124</v>
      </c>
      <c r="K30" s="121"/>
      <c r="L30" s="121"/>
      <c r="M30" s="121"/>
      <c r="N30" s="121"/>
      <c r="O30" s="121"/>
      <c r="P30" s="121"/>
      <c r="Q30" s="121"/>
      <c r="R30" s="121"/>
      <c r="S30" s="121"/>
      <c r="T30" s="121"/>
      <c r="U30" s="121"/>
      <c r="V30" s="121"/>
      <c r="W30" s="121"/>
      <c r="X30" s="121"/>
      <c r="Y30" s="121"/>
      <c r="Z30" s="121"/>
    </row>
    <row r="31" customFormat="false" ht="57" hidden="false" customHeight="true" outlineLevel="0" collapsed="false">
      <c r="A31" s="161"/>
      <c r="B31" s="178" t="s">
        <v>125</v>
      </c>
      <c r="C31" s="178"/>
      <c r="D31" s="178"/>
      <c r="E31" s="112"/>
      <c r="F31" s="179" t="n">
        <v>46056</v>
      </c>
      <c r="G31" s="179" t="n">
        <v>46056</v>
      </c>
      <c r="H31" s="179" t="n">
        <v>46056</v>
      </c>
      <c r="I31" s="179" t="n">
        <v>46056</v>
      </c>
      <c r="J31" s="179" t="n">
        <v>46056</v>
      </c>
      <c r="K31" s="121"/>
      <c r="L31" s="121"/>
      <c r="M31" s="121"/>
      <c r="N31" s="121"/>
      <c r="O31" s="121"/>
      <c r="P31" s="121"/>
      <c r="Q31" s="121"/>
      <c r="R31" s="121"/>
      <c r="S31" s="121"/>
      <c r="T31" s="121"/>
      <c r="U31" s="121"/>
      <c r="V31" s="121"/>
      <c r="W31" s="121"/>
      <c r="X31" s="121"/>
      <c r="Y31" s="121"/>
      <c r="Z31" s="121"/>
    </row>
    <row r="32" customFormat="false" ht="79.5" hidden="false" customHeight="true" outlineLevel="0" collapsed="false">
      <c r="A32" s="180"/>
      <c r="B32" s="181" t="s">
        <v>126</v>
      </c>
      <c r="C32" s="181"/>
      <c r="D32" s="181"/>
      <c r="E32" s="182"/>
      <c r="F32" s="183" t="s">
        <v>127</v>
      </c>
      <c r="G32" s="183" t="s">
        <v>128</v>
      </c>
      <c r="H32" s="183" t="s">
        <v>129</v>
      </c>
      <c r="I32" s="183" t="s">
        <v>130</v>
      </c>
      <c r="J32" s="183" t="s">
        <v>131</v>
      </c>
      <c r="K32" s="121"/>
      <c r="L32" s="121"/>
      <c r="M32" s="121"/>
      <c r="N32" s="121"/>
      <c r="O32" s="121"/>
      <c r="P32" s="121"/>
      <c r="Q32" s="121"/>
      <c r="R32" s="121"/>
      <c r="S32" s="121"/>
      <c r="T32" s="121"/>
      <c r="U32" s="121"/>
      <c r="V32" s="121"/>
      <c r="W32" s="121"/>
      <c r="X32" s="121"/>
      <c r="Y32" s="121"/>
      <c r="Z32" s="121"/>
    </row>
    <row r="33" customFormat="false" ht="12" hidden="false" customHeight="true" outlineLevel="0" collapsed="false">
      <c r="A33" s="122"/>
      <c r="B33" s="121"/>
      <c r="C33" s="140"/>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ustomFormat="false" ht="13.5" hidden="false" customHeight="true" outlineLevel="0" collapsed="false">
      <c r="A988" s="121"/>
      <c r="B988" s="122"/>
      <c r="C988" s="121"/>
      <c r="D988" s="140"/>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ustomFormat="false" ht="13.5" hidden="false" customHeight="true" outlineLevel="0" collapsed="false">
      <c r="A989" s="121"/>
      <c r="B989" s="122"/>
      <c r="C989" s="121"/>
      <c r="D989" s="140"/>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ustomFormat="false" ht="13.5" hidden="false" customHeight="true" outlineLevel="0" collapsed="false">
      <c r="A990" s="121"/>
      <c r="B990" s="122"/>
      <c r="C990" s="121"/>
      <c r="D990" s="140"/>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sheetData>
  <mergeCells count="27">
    <mergeCell ref="A2:B2"/>
    <mergeCell ref="C2:D2"/>
    <mergeCell ref="F2:K2"/>
    <mergeCell ref="L2:T2"/>
    <mergeCell ref="A3:B3"/>
    <mergeCell ref="C3:E3"/>
    <mergeCell ref="F3:K3"/>
    <mergeCell ref="L3:P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9:D29"/>
    <mergeCell ref="B30:D30"/>
    <mergeCell ref="B31:D31"/>
    <mergeCell ref="B32:D32"/>
  </mergeCells>
  <dataValidations count="3">
    <dataValidation allowBlank="true" errorStyle="stop" operator="between" prompt=" - " showDropDown="false" showErrorMessage="true" showInputMessage="true" sqref="F10:J28" type="list">
      <formula1>"O"</formula1>
      <formula2>0</formula2>
    </dataValidation>
    <dataValidation allowBlank="true" errorStyle="stop" operator="between" prompt=" - " showDropDown="false" showErrorMessage="true" showInputMessage="true" sqref="F30:J30" type="list">
      <formula1>"P,F"</formula1>
      <formula2>0</formula2>
    </dataValidation>
    <dataValidation allowBlank="true" errorStyle="stop" operator="between" prompt=" - " showDropDown="false" showErrorMessage="true" showInputMessage="true" sqref="F29:J29"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164</v>
      </c>
      <c r="D2" s="125"/>
      <c r="E2" s="126"/>
      <c r="F2" s="127" t="s">
        <v>82</v>
      </c>
      <c r="G2" s="127"/>
      <c r="H2" s="127"/>
      <c r="I2" s="127"/>
      <c r="J2" s="127"/>
      <c r="K2" s="127"/>
      <c r="L2" s="128" t="s">
        <v>164</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210</v>
      </c>
      <c r="D4" s="55"/>
      <c r="E4" s="135"/>
      <c r="F4" s="136" t="s">
        <v>88</v>
      </c>
      <c r="G4" s="136"/>
      <c r="H4" s="136"/>
      <c r="I4" s="136"/>
      <c r="J4" s="136"/>
      <c r="K4" s="136"/>
      <c r="L4" s="57" t="n">
        <v>14</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165</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COUNTIF(F28:HQ28,"P")</f>
        <v>7</v>
      </c>
      <c r="B7" s="63"/>
      <c r="C7" s="64" t="n">
        <f aca="false">COUNTIF(F28:HQ28,"F")</f>
        <v>0</v>
      </c>
      <c r="D7" s="64"/>
      <c r="E7" s="64"/>
      <c r="F7" s="64" t="n">
        <f aca="false">SUM(O7,-A7,-C7)</f>
        <v>0</v>
      </c>
      <c r="G7" s="64"/>
      <c r="H7" s="64"/>
      <c r="I7" s="64"/>
      <c r="J7" s="64"/>
      <c r="K7" s="64"/>
      <c r="L7" s="65" t="n">
        <f aca="false">COUNTIF(E27:HQ27,"N")</f>
        <v>3</v>
      </c>
      <c r="M7" s="65" t="n">
        <f aca="false">COUNTIF(E27:HQ27,"A")</f>
        <v>3</v>
      </c>
      <c r="N7" s="65" t="n">
        <f aca="false">COUNTIF(E27:HQ27,"B")</f>
        <v>1</v>
      </c>
      <c r="O7" s="66" t="n">
        <f aca="false">COUNTA(E9:HT9)</f>
        <v>7</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45" t="s">
        <v>102</v>
      </c>
      <c r="M9" s="121"/>
      <c r="N9" s="121"/>
      <c r="O9" s="121"/>
      <c r="P9" s="146"/>
      <c r="Q9" s="137"/>
      <c r="R9" s="121"/>
      <c r="S9" s="121"/>
      <c r="T9" s="121"/>
      <c r="U9" s="121"/>
    </row>
    <row r="10" customFormat="false" ht="15.75" hidden="false" customHeight="true" outlineLevel="0" collapsed="false">
      <c r="A10" s="71" t="s">
        <v>103</v>
      </c>
      <c r="B10" s="147" t="s">
        <v>104</v>
      </c>
      <c r="C10" s="148"/>
      <c r="D10" s="80"/>
      <c r="E10" s="149"/>
      <c r="F10" s="150"/>
      <c r="G10" s="150"/>
      <c r="H10" s="150"/>
      <c r="I10" s="150"/>
      <c r="J10" s="150"/>
      <c r="K10" s="150"/>
      <c r="L10" s="150"/>
      <c r="M10" s="121"/>
      <c r="N10" s="121"/>
      <c r="O10" s="121"/>
      <c r="P10" s="121"/>
      <c r="Q10" s="121"/>
      <c r="R10" s="121"/>
      <c r="S10" s="121"/>
      <c r="T10" s="121"/>
      <c r="U10" s="121"/>
    </row>
    <row r="11" customFormat="false" ht="15.75" hidden="false" customHeight="true" outlineLevel="0" collapsed="false">
      <c r="A11" s="151"/>
      <c r="B11" s="147"/>
      <c r="C11" s="148"/>
      <c r="D11" s="80" t="s">
        <v>166</v>
      </c>
      <c r="E11" s="152"/>
      <c r="F11" s="150" t="s">
        <v>106</v>
      </c>
      <c r="G11" s="150" t="s">
        <v>106</v>
      </c>
      <c r="H11" s="150" t="s">
        <v>106</v>
      </c>
      <c r="I11" s="150"/>
      <c r="J11" s="150" t="s">
        <v>106</v>
      </c>
      <c r="K11" s="150" t="s">
        <v>106</v>
      </c>
      <c r="L11" s="150" t="s">
        <v>106</v>
      </c>
      <c r="M11" s="121"/>
      <c r="N11" s="121"/>
      <c r="O11" s="121"/>
      <c r="P11" s="121"/>
      <c r="Q11" s="137"/>
      <c r="R11" s="121"/>
      <c r="S11" s="121"/>
      <c r="T11" s="121"/>
      <c r="U11" s="121"/>
    </row>
    <row r="12" customFormat="false" ht="15.75" hidden="false" customHeight="true" outlineLevel="0" collapsed="false">
      <c r="A12" s="151"/>
      <c r="B12" s="147"/>
      <c r="C12" s="148"/>
      <c r="D12" s="80" t="s">
        <v>167</v>
      </c>
      <c r="E12" s="152"/>
      <c r="F12" s="150"/>
      <c r="G12" s="150"/>
      <c r="H12" s="150"/>
      <c r="I12" s="150" t="s">
        <v>106</v>
      </c>
      <c r="J12" s="150"/>
      <c r="K12" s="150"/>
      <c r="L12" s="150"/>
      <c r="M12" s="121"/>
      <c r="N12" s="121"/>
      <c r="O12" s="121"/>
      <c r="P12" s="121"/>
      <c r="Q12" s="121"/>
      <c r="R12" s="121"/>
      <c r="S12" s="121"/>
      <c r="T12" s="121"/>
      <c r="U12" s="121"/>
    </row>
    <row r="13" customFormat="false" ht="15.75" hidden="false" customHeight="true" outlineLevel="0" collapsed="false">
      <c r="A13" s="151"/>
      <c r="B13" s="147"/>
      <c r="C13" s="148"/>
      <c r="D13" s="80" t="s">
        <v>168</v>
      </c>
      <c r="E13" s="152"/>
      <c r="F13" s="150" t="s">
        <v>106</v>
      </c>
      <c r="G13" s="150" t="s">
        <v>106</v>
      </c>
      <c r="H13" s="150"/>
      <c r="I13" s="150" t="s">
        <v>106</v>
      </c>
      <c r="J13" s="150" t="s">
        <v>106</v>
      </c>
      <c r="K13" s="150" t="s">
        <v>106</v>
      </c>
      <c r="L13" s="150" t="s">
        <v>106</v>
      </c>
      <c r="M13" s="121"/>
      <c r="N13" s="121"/>
      <c r="O13" s="121"/>
      <c r="P13" s="121"/>
      <c r="Q13" s="121"/>
      <c r="R13" s="121"/>
      <c r="S13" s="121"/>
      <c r="T13" s="121"/>
      <c r="U13" s="121"/>
    </row>
    <row r="14" customFormat="false" ht="15.75" hidden="false" customHeight="true" outlineLevel="0" collapsed="false">
      <c r="A14" s="151"/>
      <c r="B14" s="147"/>
      <c r="C14" s="148"/>
      <c r="D14" s="80" t="s">
        <v>169</v>
      </c>
      <c r="E14" s="154"/>
      <c r="F14" s="150"/>
      <c r="G14" s="150"/>
      <c r="H14" s="150" t="s">
        <v>106</v>
      </c>
      <c r="I14" s="150"/>
      <c r="J14" s="150"/>
      <c r="K14" s="150"/>
      <c r="L14" s="150"/>
      <c r="M14" s="121"/>
      <c r="N14" s="121"/>
      <c r="O14" s="121"/>
      <c r="P14" s="121"/>
      <c r="Q14" s="121"/>
      <c r="R14" s="121"/>
      <c r="S14" s="121"/>
      <c r="T14" s="121"/>
      <c r="U14" s="121"/>
    </row>
    <row r="15" customFormat="false" ht="15.75" hidden="false" customHeight="true" outlineLevel="0" collapsed="false">
      <c r="A15" s="161"/>
      <c r="B15" s="88"/>
      <c r="C15" s="158"/>
      <c r="D15" s="159" t="s">
        <v>170</v>
      </c>
      <c r="E15" s="185"/>
      <c r="F15" s="157" t="s">
        <v>106</v>
      </c>
      <c r="G15" s="157" t="s">
        <v>106</v>
      </c>
      <c r="H15" s="157"/>
      <c r="I15" s="157" t="s">
        <v>106</v>
      </c>
      <c r="J15" s="157"/>
      <c r="K15" s="157" t="s">
        <v>106</v>
      </c>
      <c r="L15" s="157" t="s">
        <v>106</v>
      </c>
      <c r="M15" s="121"/>
      <c r="N15" s="121"/>
      <c r="O15" s="121"/>
      <c r="P15" s="121"/>
      <c r="Q15" s="121"/>
      <c r="R15" s="121"/>
      <c r="S15" s="121"/>
      <c r="T15" s="121"/>
      <c r="U15" s="121"/>
    </row>
    <row r="16" customFormat="false" ht="15.75" hidden="false" customHeight="true" outlineLevel="0" collapsed="false">
      <c r="A16" s="87" t="s">
        <v>111</v>
      </c>
      <c r="B16" s="88" t="s">
        <v>112</v>
      </c>
      <c r="C16" s="158"/>
      <c r="D16" s="159"/>
      <c r="E16" s="160"/>
      <c r="F16" s="157"/>
      <c r="G16" s="157"/>
      <c r="H16" s="157"/>
      <c r="I16" s="157"/>
      <c r="J16" s="157"/>
      <c r="K16" s="157"/>
      <c r="L16" s="157"/>
      <c r="M16" s="121"/>
      <c r="N16" s="121"/>
      <c r="O16" s="121"/>
      <c r="P16" s="121"/>
      <c r="Q16" s="121"/>
      <c r="R16" s="121"/>
      <c r="S16" s="121"/>
      <c r="T16" s="121"/>
      <c r="U16" s="121"/>
    </row>
    <row r="17" customFormat="false" ht="15.75" hidden="false" customHeight="true" outlineLevel="0" collapsed="false">
      <c r="A17" s="161"/>
      <c r="B17" s="97"/>
      <c r="C17" s="162"/>
      <c r="D17" s="99" t="s">
        <v>171</v>
      </c>
      <c r="E17" s="163"/>
      <c r="F17" s="150" t="s">
        <v>106</v>
      </c>
      <c r="G17" s="150" t="s">
        <v>106</v>
      </c>
      <c r="H17" s="150" t="s">
        <v>106</v>
      </c>
      <c r="I17" s="150"/>
      <c r="J17" s="150"/>
      <c r="K17" s="150" t="s">
        <v>106</v>
      </c>
      <c r="L17" s="150" t="s">
        <v>106</v>
      </c>
      <c r="M17" s="121"/>
      <c r="N17" s="121"/>
      <c r="O17" s="121"/>
      <c r="P17" s="121"/>
      <c r="Q17" s="121"/>
      <c r="R17" s="121"/>
      <c r="S17" s="121"/>
      <c r="T17" s="121"/>
      <c r="U17" s="121"/>
    </row>
    <row r="18" customFormat="false" ht="15.75" hidden="false" customHeight="true" outlineLevel="0" collapsed="false">
      <c r="A18" s="161"/>
      <c r="B18" s="97"/>
      <c r="C18" s="56"/>
      <c r="D18" s="99" t="s">
        <v>172</v>
      </c>
      <c r="E18" s="164"/>
      <c r="F18" s="150" t="s">
        <v>106</v>
      </c>
      <c r="G18" s="150" t="s">
        <v>106</v>
      </c>
      <c r="H18" s="150" t="s">
        <v>106</v>
      </c>
      <c r="I18" s="150"/>
      <c r="J18" s="150"/>
      <c r="K18" s="150" t="s">
        <v>106</v>
      </c>
      <c r="L18" s="150"/>
      <c r="M18" s="121"/>
      <c r="N18" s="121"/>
      <c r="O18" s="121"/>
      <c r="P18" s="121"/>
      <c r="Q18" s="121"/>
      <c r="R18" s="121"/>
      <c r="S18" s="121"/>
      <c r="T18" s="121"/>
      <c r="U18" s="121"/>
    </row>
    <row r="19" customFormat="false" ht="15.75" hidden="false" customHeight="true" outlineLevel="0" collapsed="false">
      <c r="A19" s="161"/>
      <c r="B19" s="97"/>
      <c r="C19" s="56"/>
      <c r="D19" s="99" t="s">
        <v>173</v>
      </c>
      <c r="E19" s="164"/>
      <c r="F19" s="150"/>
      <c r="G19" s="150" t="s">
        <v>106</v>
      </c>
      <c r="H19" s="150"/>
      <c r="I19" s="150" t="s">
        <v>106</v>
      </c>
      <c r="J19" s="150" t="s">
        <v>106</v>
      </c>
      <c r="K19" s="150" t="s">
        <v>106</v>
      </c>
      <c r="L19" s="150"/>
      <c r="M19" s="121"/>
      <c r="N19" s="121"/>
      <c r="O19" s="121"/>
      <c r="P19" s="121"/>
      <c r="Q19" s="121"/>
      <c r="R19" s="121"/>
      <c r="S19" s="121"/>
      <c r="T19" s="121"/>
      <c r="U19" s="121"/>
    </row>
    <row r="20" customFormat="false" ht="15.75" hidden="false" customHeight="true" outlineLevel="0" collapsed="false">
      <c r="A20" s="161"/>
      <c r="B20" s="186"/>
      <c r="C20" s="56"/>
      <c r="D20" s="99"/>
      <c r="E20" s="164"/>
      <c r="F20" s="150"/>
      <c r="G20" s="150"/>
      <c r="H20" s="150"/>
      <c r="I20" s="150"/>
      <c r="J20" s="150"/>
      <c r="K20" s="150"/>
      <c r="L20" s="150"/>
      <c r="M20" s="121"/>
      <c r="N20" s="121"/>
      <c r="O20" s="121"/>
      <c r="P20" s="121"/>
      <c r="Q20" s="121"/>
      <c r="R20" s="121"/>
      <c r="S20" s="121"/>
      <c r="T20" s="121"/>
      <c r="U20" s="121"/>
    </row>
    <row r="21" customFormat="false" ht="15.75" hidden="false" customHeight="true" outlineLevel="0" collapsed="false">
      <c r="A21" s="161"/>
      <c r="B21" s="186"/>
      <c r="C21" s="56"/>
      <c r="D21" s="99"/>
      <c r="E21" s="164"/>
      <c r="F21" s="150"/>
      <c r="G21" s="150"/>
      <c r="H21" s="150"/>
      <c r="I21" s="150"/>
      <c r="J21" s="150"/>
      <c r="K21" s="150"/>
      <c r="L21" s="150"/>
      <c r="M21" s="121"/>
      <c r="N21" s="121"/>
      <c r="O21" s="121"/>
      <c r="P21" s="121"/>
      <c r="Q21" s="121"/>
      <c r="R21" s="121"/>
      <c r="S21" s="121"/>
      <c r="T21" s="121"/>
      <c r="U21" s="121"/>
    </row>
    <row r="22" customFormat="false" ht="15.75" hidden="false" customHeight="true" outlineLevel="0" collapsed="false">
      <c r="A22" s="161"/>
      <c r="B22" s="97" t="s">
        <v>116</v>
      </c>
      <c r="C22" s="56"/>
      <c r="D22" s="99"/>
      <c r="E22" s="164"/>
      <c r="F22" s="150"/>
      <c r="G22" s="150"/>
      <c r="H22" s="150"/>
      <c r="I22" s="150"/>
      <c r="J22" s="150"/>
      <c r="K22" s="150"/>
      <c r="L22" s="150"/>
      <c r="M22" s="121"/>
      <c r="N22" s="121"/>
      <c r="O22" s="121"/>
      <c r="P22" s="121"/>
      <c r="Q22" s="121"/>
      <c r="R22" s="121"/>
      <c r="S22" s="121"/>
      <c r="T22" s="121"/>
      <c r="U22" s="121"/>
    </row>
    <row r="23" customFormat="false" ht="15.75" hidden="false" customHeight="true" outlineLevel="0" collapsed="false">
      <c r="A23" s="161"/>
      <c r="B23" s="97"/>
      <c r="C23" s="56"/>
      <c r="D23" s="99" t="s">
        <v>174</v>
      </c>
      <c r="E23" s="164"/>
      <c r="F23" s="150" t="s">
        <v>106</v>
      </c>
      <c r="G23" s="150"/>
      <c r="H23" s="150"/>
      <c r="I23" s="150"/>
      <c r="J23" s="150"/>
      <c r="K23" s="150"/>
      <c r="L23" s="150" t="s">
        <v>106</v>
      </c>
      <c r="M23" s="121"/>
      <c r="N23" s="121"/>
      <c r="O23" s="121"/>
      <c r="P23" s="121"/>
      <c r="Q23" s="121"/>
      <c r="R23" s="121"/>
      <c r="S23" s="121"/>
      <c r="T23" s="121"/>
      <c r="U23" s="121"/>
    </row>
    <row r="24" customFormat="false" ht="15.75" hidden="false" customHeight="true" outlineLevel="0" collapsed="false">
      <c r="A24" s="161"/>
      <c r="B24" s="97"/>
      <c r="C24" s="56"/>
      <c r="D24" s="99" t="s">
        <v>175</v>
      </c>
      <c r="E24" s="164"/>
      <c r="F24" s="150"/>
      <c r="G24" s="150"/>
      <c r="H24" s="150" t="s">
        <v>106</v>
      </c>
      <c r="I24" s="150" t="s">
        <v>106</v>
      </c>
      <c r="J24" s="150" t="s">
        <v>106</v>
      </c>
      <c r="K24" s="150"/>
      <c r="L24" s="150"/>
      <c r="M24" s="121"/>
      <c r="N24" s="121"/>
      <c r="O24" s="121"/>
      <c r="P24" s="121"/>
      <c r="Q24" s="121"/>
      <c r="R24" s="121"/>
      <c r="S24" s="121"/>
      <c r="T24" s="121"/>
      <c r="U24" s="121"/>
    </row>
    <row r="25" customFormat="false" ht="15.75" hidden="false" customHeight="true" outlineLevel="0" collapsed="false">
      <c r="A25" s="161"/>
      <c r="B25" s="97"/>
      <c r="C25" s="56"/>
      <c r="D25" s="99" t="s">
        <v>176</v>
      </c>
      <c r="E25" s="164"/>
      <c r="F25" s="150"/>
      <c r="G25" s="150" t="s">
        <v>106</v>
      </c>
      <c r="H25" s="150"/>
      <c r="I25" s="150"/>
      <c r="J25" s="150"/>
      <c r="K25" s="150" t="s">
        <v>106</v>
      </c>
      <c r="L25" s="150" t="s">
        <v>106</v>
      </c>
      <c r="M25" s="121"/>
      <c r="N25" s="121"/>
      <c r="O25" s="121"/>
      <c r="P25" s="121"/>
      <c r="Q25" s="121"/>
      <c r="R25" s="121"/>
      <c r="S25" s="121"/>
      <c r="T25" s="121"/>
      <c r="U25" s="121"/>
    </row>
    <row r="26" customFormat="false" ht="15.75" hidden="false" customHeight="true" outlineLevel="0" collapsed="false">
      <c r="A26" s="161"/>
      <c r="B26" s="97"/>
      <c r="C26" s="56"/>
      <c r="D26" s="99"/>
      <c r="E26" s="164"/>
      <c r="F26" s="150"/>
      <c r="G26" s="150"/>
      <c r="H26" s="150"/>
      <c r="I26" s="150"/>
      <c r="J26" s="150"/>
      <c r="K26" s="150"/>
      <c r="L26" s="150"/>
      <c r="M26" s="121"/>
      <c r="N26" s="121"/>
      <c r="O26" s="121"/>
      <c r="P26" s="121"/>
      <c r="Q26" s="121"/>
      <c r="R26" s="121"/>
      <c r="S26" s="121"/>
      <c r="T26" s="121"/>
      <c r="U26" s="121"/>
    </row>
    <row r="27" customFormat="false" ht="15.75" hidden="false" customHeight="true" outlineLevel="0" collapsed="false">
      <c r="A27" s="87" t="s">
        <v>120</v>
      </c>
      <c r="B27" s="173" t="s">
        <v>121</v>
      </c>
      <c r="C27" s="173"/>
      <c r="D27" s="173"/>
      <c r="E27" s="173"/>
      <c r="F27" s="174" t="s">
        <v>122</v>
      </c>
      <c r="G27" s="174" t="s">
        <v>122</v>
      </c>
      <c r="H27" s="174" t="s">
        <v>66</v>
      </c>
      <c r="I27" s="174" t="s">
        <v>66</v>
      </c>
      <c r="J27" s="174" t="s">
        <v>66</v>
      </c>
      <c r="K27" s="174" t="s">
        <v>122</v>
      </c>
      <c r="L27" s="174" t="s">
        <v>150</v>
      </c>
      <c r="M27" s="121"/>
      <c r="N27" s="121"/>
      <c r="O27" s="121"/>
      <c r="P27" s="121"/>
      <c r="Q27" s="121"/>
      <c r="R27" s="121"/>
      <c r="S27" s="121"/>
      <c r="T27" s="121"/>
      <c r="U27" s="121"/>
    </row>
    <row r="28" customFormat="false" ht="15.75" hidden="false" customHeight="true" outlineLevel="0" collapsed="false">
      <c r="A28" s="161"/>
      <c r="B28" s="175" t="s">
        <v>123</v>
      </c>
      <c r="C28" s="175"/>
      <c r="D28" s="175"/>
      <c r="E28" s="176"/>
      <c r="F28" s="177" t="s">
        <v>124</v>
      </c>
      <c r="G28" s="177" t="s">
        <v>124</v>
      </c>
      <c r="H28" s="177" t="s">
        <v>124</v>
      </c>
      <c r="I28" s="177" t="s">
        <v>124</v>
      </c>
      <c r="J28" s="177" t="s">
        <v>124</v>
      </c>
      <c r="K28" s="177" t="s">
        <v>124</v>
      </c>
      <c r="L28" s="177" t="s">
        <v>124</v>
      </c>
      <c r="M28" s="121"/>
      <c r="N28" s="121"/>
      <c r="O28" s="121"/>
      <c r="P28" s="121"/>
      <c r="Q28" s="121"/>
      <c r="R28" s="121"/>
      <c r="S28" s="121"/>
      <c r="T28" s="121"/>
      <c r="U28" s="121"/>
    </row>
    <row r="29" customFormat="false" ht="60" hidden="false" customHeight="true" outlineLevel="0" collapsed="false">
      <c r="A29" s="161"/>
      <c r="B29" s="178" t="s">
        <v>125</v>
      </c>
      <c r="C29" s="178"/>
      <c r="D29" s="178"/>
      <c r="E29" s="112"/>
      <c r="F29" s="179" t="n">
        <v>46085</v>
      </c>
      <c r="G29" s="179" t="n">
        <v>46085</v>
      </c>
      <c r="H29" s="179" t="n">
        <v>46085</v>
      </c>
      <c r="I29" s="179" t="n">
        <v>46085</v>
      </c>
      <c r="J29" s="179" t="n">
        <v>46085</v>
      </c>
      <c r="K29" s="179" t="n">
        <v>46085</v>
      </c>
      <c r="L29" s="179" t="n">
        <v>46085</v>
      </c>
      <c r="M29" s="121"/>
      <c r="N29" s="121"/>
      <c r="O29" s="121"/>
      <c r="P29" s="121"/>
      <c r="Q29" s="121"/>
      <c r="R29" s="121"/>
      <c r="S29" s="121"/>
      <c r="T29" s="121"/>
      <c r="U29" s="121"/>
    </row>
    <row r="30" customFormat="false" ht="79.5" hidden="false" customHeight="true" outlineLevel="0" collapsed="false">
      <c r="A30" s="180"/>
      <c r="B30" s="181" t="s">
        <v>126</v>
      </c>
      <c r="C30" s="181"/>
      <c r="D30" s="181"/>
      <c r="E30" s="182"/>
      <c r="F30" s="183" t="s">
        <v>127</v>
      </c>
      <c r="G30" s="183" t="s">
        <v>128</v>
      </c>
      <c r="H30" s="183" t="s">
        <v>129</v>
      </c>
      <c r="I30" s="183" t="s">
        <v>130</v>
      </c>
      <c r="J30" s="183" t="s">
        <v>131</v>
      </c>
      <c r="K30" s="183" t="s">
        <v>132</v>
      </c>
      <c r="L30" s="183" t="s">
        <v>133</v>
      </c>
      <c r="M30" s="121"/>
      <c r="N30" s="121"/>
      <c r="O30" s="121"/>
      <c r="P30" s="121"/>
      <c r="Q30" s="121"/>
      <c r="R30" s="121"/>
      <c r="S30" s="121"/>
      <c r="T30" s="121"/>
      <c r="U30" s="121"/>
    </row>
    <row r="31" customFormat="false" ht="12" hidden="false" customHeight="true" outlineLevel="0" collapsed="false">
      <c r="A31" s="122"/>
      <c r="B31" s="121"/>
      <c r="C31" s="140"/>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ustomFormat="false" ht="13.5" hidden="false" customHeight="true" outlineLevel="0" collapsed="false">
      <c r="A988" s="121"/>
      <c r="B988" s="122"/>
      <c r="C988" s="121"/>
      <c r="D988" s="140"/>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7:D27"/>
    <mergeCell ref="B28:D28"/>
    <mergeCell ref="B29:D29"/>
    <mergeCell ref="B30:D30"/>
  </mergeCells>
  <dataValidations count="3">
    <dataValidation allowBlank="true" errorStyle="stop" operator="between" prompt=" - " showDropDown="false" showErrorMessage="true" showInputMessage="true" sqref="F10:L26" type="list">
      <formula1>"O"</formula1>
      <formula2>0</formula2>
    </dataValidation>
    <dataValidation allowBlank="true" errorStyle="stop" operator="between" prompt=" - " showDropDown="false" showErrorMessage="true" showInputMessage="true" sqref="F28:L28" type="list">
      <formula1>"P,F"</formula1>
      <formula2>0</formula2>
    </dataValidation>
    <dataValidation allowBlank="true" errorStyle="stop" operator="between" prompt=" - " showDropDown="false" showErrorMessage="true" showInputMessage="true" sqref="F27:L27"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177</v>
      </c>
      <c r="D2" s="125"/>
      <c r="E2" s="126"/>
      <c r="F2" s="127" t="s">
        <v>82</v>
      </c>
      <c r="G2" s="127"/>
      <c r="H2" s="127"/>
      <c r="I2" s="127"/>
      <c r="J2" s="127"/>
      <c r="K2" s="127"/>
      <c r="L2" s="128" t="s">
        <v>177</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180</v>
      </c>
      <c r="D4" s="55"/>
      <c r="E4" s="135"/>
      <c r="F4" s="136" t="s">
        <v>88</v>
      </c>
      <c r="G4" s="136"/>
      <c r="H4" s="136"/>
      <c r="I4" s="136"/>
      <c r="J4" s="136"/>
      <c r="K4" s="136"/>
      <c r="L4" s="57" t="n">
        <v>10</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178</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4" t="n">
        <f aca="false">COUNTIF(D25:HO25,"P")</f>
        <v>8</v>
      </c>
      <c r="B7" s="64"/>
      <c r="C7" s="64" t="n">
        <f aca="false">COUNTIF(F25:HQ25,"F")</f>
        <v>0</v>
      </c>
      <c r="D7" s="64"/>
      <c r="E7" s="64"/>
      <c r="F7" s="64" t="n">
        <f aca="false">SUM(O7,-A7,-C7)</f>
        <v>0</v>
      </c>
      <c r="G7" s="64"/>
      <c r="H7" s="64"/>
      <c r="I7" s="64"/>
      <c r="J7" s="64"/>
      <c r="K7" s="64"/>
      <c r="L7" s="65" t="n">
        <f aca="false">COUNTIF(E24:HQ24,"N")</f>
        <v>5</v>
      </c>
      <c r="M7" s="65" t="n">
        <f aca="false">COUNTIF(E24:HQ24,"A")</f>
        <v>2</v>
      </c>
      <c r="N7" s="65" t="n">
        <f aca="false">COUNTIF(E24:HQ24,"B")</f>
        <v>1</v>
      </c>
      <c r="O7" s="66" t="n">
        <f aca="false">COUNTA(E9:HT9)</f>
        <v>8</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45" t="s">
        <v>102</v>
      </c>
      <c r="M9" s="145" t="s">
        <v>179</v>
      </c>
      <c r="N9" s="121"/>
      <c r="O9" s="121"/>
      <c r="P9" s="146"/>
      <c r="Q9" s="137"/>
      <c r="R9" s="121"/>
      <c r="S9" s="121"/>
      <c r="T9" s="121"/>
      <c r="U9" s="121"/>
    </row>
    <row r="10" customFormat="false" ht="15.75" hidden="false" customHeight="true" outlineLevel="0" collapsed="false">
      <c r="A10" s="71" t="s">
        <v>103</v>
      </c>
      <c r="B10" s="147" t="s">
        <v>104</v>
      </c>
      <c r="C10" s="148"/>
      <c r="D10" s="80"/>
      <c r="E10" s="149"/>
      <c r="F10" s="150"/>
      <c r="G10" s="150"/>
      <c r="H10" s="150"/>
      <c r="I10" s="150"/>
      <c r="J10" s="150"/>
      <c r="K10" s="150"/>
      <c r="L10" s="150"/>
      <c r="M10" s="150"/>
      <c r="N10" s="121"/>
      <c r="O10" s="121"/>
      <c r="P10" s="121"/>
      <c r="Q10" s="121"/>
      <c r="R10" s="121"/>
      <c r="S10" s="121"/>
      <c r="T10" s="121"/>
      <c r="U10" s="121"/>
    </row>
    <row r="11" customFormat="false" ht="15.75" hidden="false" customHeight="true" outlineLevel="0" collapsed="false">
      <c r="A11" s="151"/>
      <c r="B11" s="147"/>
      <c r="C11" s="148"/>
      <c r="D11" s="80" t="s">
        <v>180</v>
      </c>
      <c r="E11" s="152"/>
      <c r="F11" s="150" t="s">
        <v>106</v>
      </c>
      <c r="G11" s="150"/>
      <c r="H11" s="150"/>
      <c r="I11" s="150"/>
      <c r="J11" s="150"/>
      <c r="K11" s="150"/>
      <c r="L11" s="150"/>
      <c r="M11" s="150"/>
      <c r="N11" s="121"/>
      <c r="O11" s="121"/>
      <c r="P11" s="121"/>
      <c r="Q11" s="137"/>
      <c r="R11" s="121"/>
      <c r="S11" s="121"/>
      <c r="T11" s="121"/>
      <c r="U11" s="121"/>
    </row>
    <row r="12" customFormat="false" ht="15.75" hidden="false" customHeight="true" outlineLevel="0" collapsed="false">
      <c r="A12" s="151"/>
      <c r="B12" s="147"/>
      <c r="C12" s="148"/>
      <c r="D12" s="80" t="s">
        <v>181</v>
      </c>
      <c r="E12" s="152"/>
      <c r="F12" s="150"/>
      <c r="G12" s="150" t="s">
        <v>106</v>
      </c>
      <c r="H12" s="150" t="s">
        <v>106</v>
      </c>
      <c r="I12" s="150" t="s">
        <v>106</v>
      </c>
      <c r="J12" s="150" t="s">
        <v>106</v>
      </c>
      <c r="K12" s="150" t="s">
        <v>106</v>
      </c>
      <c r="L12" s="150" t="s">
        <v>106</v>
      </c>
      <c r="M12" s="150" t="s">
        <v>106</v>
      </c>
      <c r="N12" s="121"/>
      <c r="O12" s="121"/>
      <c r="P12" s="121"/>
      <c r="Q12" s="121"/>
      <c r="R12" s="121"/>
      <c r="S12" s="121"/>
      <c r="T12" s="121"/>
      <c r="U12" s="121"/>
    </row>
    <row r="13" customFormat="false" ht="15.75" hidden="false" customHeight="true" outlineLevel="0" collapsed="false">
      <c r="A13" s="151"/>
      <c r="B13" s="147"/>
      <c r="C13" s="148"/>
      <c r="D13" s="80" t="s">
        <v>182</v>
      </c>
      <c r="E13" s="152"/>
      <c r="F13" s="150"/>
      <c r="G13" s="150"/>
      <c r="H13" s="150" t="s">
        <v>106</v>
      </c>
      <c r="I13" s="150"/>
      <c r="J13" s="150"/>
      <c r="K13" s="150"/>
      <c r="L13" s="150" t="s">
        <v>106</v>
      </c>
      <c r="M13" s="150"/>
      <c r="N13" s="121"/>
      <c r="O13" s="121"/>
      <c r="P13" s="121"/>
      <c r="Q13" s="121"/>
      <c r="R13" s="121"/>
      <c r="S13" s="121"/>
      <c r="T13" s="121"/>
      <c r="U13" s="121"/>
    </row>
    <row r="14" customFormat="false" ht="15.75" hidden="false" customHeight="true" outlineLevel="0" collapsed="false">
      <c r="A14" s="151"/>
      <c r="B14" s="147"/>
      <c r="C14" s="148"/>
      <c r="D14" s="80" t="s">
        <v>183</v>
      </c>
      <c r="E14" s="154"/>
      <c r="F14" s="150"/>
      <c r="G14" s="150"/>
      <c r="H14" s="150"/>
      <c r="I14" s="150" t="s">
        <v>106</v>
      </c>
      <c r="J14" s="150"/>
      <c r="K14" s="150"/>
      <c r="L14" s="150" t="s">
        <v>106</v>
      </c>
      <c r="M14" s="150"/>
      <c r="N14" s="121"/>
      <c r="O14" s="121"/>
      <c r="P14" s="121"/>
      <c r="Q14" s="121"/>
      <c r="R14" s="121"/>
      <c r="S14" s="121"/>
      <c r="T14" s="121"/>
      <c r="U14" s="121"/>
    </row>
    <row r="15" customFormat="false" ht="15.75" hidden="false" customHeight="true" outlineLevel="0" collapsed="false">
      <c r="A15" s="161"/>
      <c r="B15" s="88"/>
      <c r="C15" s="158"/>
      <c r="D15" s="159" t="s">
        <v>184</v>
      </c>
      <c r="E15" s="185"/>
      <c r="F15" s="157"/>
      <c r="G15" s="157"/>
      <c r="H15" s="157"/>
      <c r="I15" s="157"/>
      <c r="J15" s="157" t="s">
        <v>106</v>
      </c>
      <c r="K15" s="157" t="s">
        <v>106</v>
      </c>
      <c r="L15" s="157"/>
      <c r="M15" s="157"/>
      <c r="N15" s="121"/>
      <c r="O15" s="121"/>
      <c r="P15" s="121"/>
      <c r="Q15" s="121"/>
      <c r="R15" s="121"/>
      <c r="S15" s="121"/>
      <c r="T15" s="121"/>
      <c r="U15" s="121"/>
    </row>
    <row r="16" customFormat="false" ht="15.75" hidden="false" customHeight="true" outlineLevel="0" collapsed="false">
      <c r="A16" s="87" t="s">
        <v>111</v>
      </c>
      <c r="B16" s="88" t="s">
        <v>112</v>
      </c>
      <c r="C16" s="158"/>
      <c r="D16" s="159"/>
      <c r="E16" s="160"/>
      <c r="F16" s="157"/>
      <c r="G16" s="157"/>
      <c r="H16" s="157"/>
      <c r="I16" s="157"/>
      <c r="J16" s="157"/>
      <c r="K16" s="157"/>
      <c r="L16" s="157"/>
      <c r="M16" s="157"/>
      <c r="N16" s="121"/>
      <c r="O16" s="121"/>
      <c r="P16" s="121"/>
      <c r="Q16" s="121"/>
      <c r="R16" s="121"/>
      <c r="S16" s="121"/>
      <c r="T16" s="121"/>
      <c r="U16" s="121"/>
    </row>
    <row r="17" customFormat="false" ht="15.75" hidden="false" customHeight="true" outlineLevel="0" collapsed="false">
      <c r="A17" s="161"/>
      <c r="B17" s="97"/>
      <c r="C17" s="162"/>
      <c r="D17" s="99" t="s">
        <v>185</v>
      </c>
      <c r="E17" s="163"/>
      <c r="F17" s="150" t="s">
        <v>106</v>
      </c>
      <c r="G17" s="150" t="s">
        <v>106</v>
      </c>
      <c r="H17" s="150" t="s">
        <v>106</v>
      </c>
      <c r="I17" s="150" t="s">
        <v>106</v>
      </c>
      <c r="J17" s="150" t="s">
        <v>106</v>
      </c>
      <c r="K17" s="150" t="s">
        <v>106</v>
      </c>
      <c r="L17" s="150" t="s">
        <v>106</v>
      </c>
      <c r="M17" s="150"/>
      <c r="N17" s="121"/>
      <c r="O17" s="121"/>
      <c r="P17" s="121"/>
      <c r="Q17" s="121"/>
      <c r="R17" s="121"/>
      <c r="S17" s="121"/>
      <c r="T17" s="121"/>
      <c r="U17" s="121"/>
    </row>
    <row r="18" customFormat="false" ht="15.75" hidden="false" customHeight="true" outlineLevel="0" collapsed="false">
      <c r="A18" s="161"/>
      <c r="B18" s="97"/>
      <c r="C18" s="56"/>
      <c r="D18" s="99" t="s">
        <v>186</v>
      </c>
      <c r="E18" s="164"/>
      <c r="F18" s="150"/>
      <c r="G18" s="150"/>
      <c r="H18" s="150" t="s">
        <v>106</v>
      </c>
      <c r="I18" s="150" t="s">
        <v>106</v>
      </c>
      <c r="J18" s="150"/>
      <c r="K18" s="150" t="s">
        <v>106</v>
      </c>
      <c r="L18" s="150" t="s">
        <v>106</v>
      </c>
      <c r="M18" s="150"/>
      <c r="N18" s="121"/>
      <c r="O18" s="121"/>
      <c r="P18" s="121"/>
      <c r="Q18" s="121"/>
      <c r="R18" s="121"/>
      <c r="S18" s="121"/>
      <c r="T18" s="121"/>
      <c r="U18" s="121"/>
    </row>
    <row r="19" customFormat="false" ht="15.75" hidden="false" customHeight="true" outlineLevel="0" collapsed="false">
      <c r="A19" s="161"/>
      <c r="B19" s="97"/>
      <c r="C19" s="56"/>
      <c r="D19" s="99" t="s">
        <v>187</v>
      </c>
      <c r="E19" s="164"/>
      <c r="F19" s="150"/>
      <c r="G19" s="150"/>
      <c r="H19" s="150"/>
      <c r="I19" s="150"/>
      <c r="J19" s="150" t="s">
        <v>106</v>
      </c>
      <c r="K19" s="150" t="s">
        <v>106</v>
      </c>
      <c r="L19" s="150"/>
      <c r="M19" s="150" t="s">
        <v>106</v>
      </c>
      <c r="N19" s="121"/>
      <c r="O19" s="121"/>
      <c r="P19" s="121"/>
      <c r="Q19" s="121"/>
      <c r="R19" s="121"/>
      <c r="S19" s="121"/>
      <c r="T19" s="121"/>
      <c r="U19" s="121"/>
    </row>
    <row r="20" customFormat="false" ht="15.75" hidden="false" customHeight="true" outlineLevel="0" collapsed="false">
      <c r="A20" s="161"/>
      <c r="B20" s="97" t="s">
        <v>116</v>
      </c>
      <c r="C20" s="56"/>
      <c r="D20" s="99"/>
      <c r="E20" s="164"/>
      <c r="F20" s="150"/>
      <c r="G20" s="150"/>
      <c r="H20" s="150"/>
      <c r="I20" s="150"/>
      <c r="J20" s="150"/>
      <c r="K20" s="150"/>
      <c r="L20" s="150"/>
      <c r="M20" s="150"/>
      <c r="N20" s="121"/>
      <c r="O20" s="121"/>
      <c r="P20" s="121"/>
      <c r="Q20" s="121"/>
      <c r="R20" s="121"/>
      <c r="S20" s="121"/>
      <c r="T20" s="121"/>
      <c r="U20" s="121"/>
    </row>
    <row r="21" customFormat="false" ht="15.75" hidden="false" customHeight="true" outlineLevel="0" collapsed="false">
      <c r="A21" s="161"/>
      <c r="B21" s="97"/>
      <c r="C21" s="56"/>
      <c r="D21" s="99" t="s">
        <v>188</v>
      </c>
      <c r="E21" s="164"/>
      <c r="F21" s="150" t="s">
        <v>106</v>
      </c>
      <c r="G21" s="150" t="s">
        <v>106</v>
      </c>
      <c r="H21" s="150"/>
      <c r="I21" s="150"/>
      <c r="J21" s="150"/>
      <c r="K21" s="150" t="s">
        <v>106</v>
      </c>
      <c r="L21" s="150"/>
      <c r="M21" s="150"/>
      <c r="N21" s="121"/>
      <c r="O21" s="121"/>
      <c r="P21" s="121"/>
      <c r="Q21" s="121"/>
      <c r="R21" s="121"/>
      <c r="S21" s="121"/>
      <c r="T21" s="121"/>
      <c r="U21" s="121"/>
    </row>
    <row r="22" customFormat="false" ht="15.75" hidden="false" customHeight="true" outlineLevel="0" collapsed="false">
      <c r="A22" s="161"/>
      <c r="B22" s="97"/>
      <c r="C22" s="56"/>
      <c r="D22" s="99" t="s">
        <v>189</v>
      </c>
      <c r="E22" s="164"/>
      <c r="F22" s="150"/>
      <c r="G22" s="150"/>
      <c r="H22" s="150" t="s">
        <v>106</v>
      </c>
      <c r="I22" s="150" t="s">
        <v>106</v>
      </c>
      <c r="J22" s="150"/>
      <c r="K22" s="150" t="s">
        <v>106</v>
      </c>
      <c r="L22" s="150" t="s">
        <v>106</v>
      </c>
      <c r="M22" s="150"/>
      <c r="N22" s="121"/>
      <c r="O22" s="121"/>
      <c r="P22" s="121"/>
      <c r="Q22" s="121"/>
      <c r="R22" s="121"/>
      <c r="S22" s="121"/>
      <c r="T22" s="121"/>
      <c r="U22" s="121"/>
    </row>
    <row r="23" customFormat="false" ht="15.75" hidden="false" customHeight="true" outlineLevel="0" collapsed="false">
      <c r="A23" s="161"/>
      <c r="B23" s="97"/>
      <c r="C23" s="56"/>
      <c r="D23" s="99" t="s">
        <v>190</v>
      </c>
      <c r="E23" s="164"/>
      <c r="F23" s="150"/>
      <c r="G23" s="150"/>
      <c r="H23" s="150"/>
      <c r="I23" s="150"/>
      <c r="J23" s="150" t="s">
        <v>106</v>
      </c>
      <c r="K23" s="150" t="s">
        <v>106</v>
      </c>
      <c r="L23" s="150"/>
      <c r="M23" s="150" t="s">
        <v>106</v>
      </c>
      <c r="N23" s="121"/>
      <c r="O23" s="121"/>
      <c r="P23" s="121"/>
      <c r="Q23" s="121"/>
      <c r="R23" s="121"/>
      <c r="S23" s="121"/>
      <c r="T23" s="121"/>
      <c r="U23" s="121"/>
    </row>
    <row r="24" customFormat="false" ht="15.75" hidden="false" customHeight="true" outlineLevel="0" collapsed="false">
      <c r="A24" s="87" t="s">
        <v>120</v>
      </c>
      <c r="B24" s="173" t="s">
        <v>121</v>
      </c>
      <c r="C24" s="173"/>
      <c r="D24" s="173"/>
      <c r="E24" s="173"/>
      <c r="F24" s="174" t="s">
        <v>66</v>
      </c>
      <c r="G24" s="174" t="s">
        <v>122</v>
      </c>
      <c r="H24" s="174" t="s">
        <v>122</v>
      </c>
      <c r="I24" s="174" t="s">
        <v>122</v>
      </c>
      <c r="J24" s="174" t="s">
        <v>122</v>
      </c>
      <c r="K24" s="174" t="s">
        <v>150</v>
      </c>
      <c r="L24" s="174" t="s">
        <v>122</v>
      </c>
      <c r="M24" s="174" t="s">
        <v>66</v>
      </c>
      <c r="N24" s="121"/>
      <c r="O24" s="121"/>
      <c r="P24" s="121"/>
      <c r="Q24" s="121"/>
      <c r="R24" s="121"/>
      <c r="S24" s="121"/>
      <c r="T24" s="121"/>
      <c r="U24" s="121"/>
    </row>
    <row r="25" customFormat="false" ht="15.75" hidden="false" customHeight="true" outlineLevel="0" collapsed="false">
      <c r="A25" s="161"/>
      <c r="B25" s="175" t="s">
        <v>123</v>
      </c>
      <c r="C25" s="175"/>
      <c r="D25" s="175"/>
      <c r="E25" s="176"/>
      <c r="F25" s="177" t="s">
        <v>124</v>
      </c>
      <c r="G25" s="177" t="s">
        <v>124</v>
      </c>
      <c r="H25" s="177" t="s">
        <v>124</v>
      </c>
      <c r="I25" s="177" t="s">
        <v>124</v>
      </c>
      <c r="J25" s="177" t="s">
        <v>124</v>
      </c>
      <c r="K25" s="177" t="s">
        <v>124</v>
      </c>
      <c r="L25" s="177" t="s">
        <v>124</v>
      </c>
      <c r="M25" s="177" t="s">
        <v>124</v>
      </c>
      <c r="N25" s="121"/>
      <c r="O25" s="121"/>
      <c r="P25" s="121"/>
      <c r="Q25" s="121"/>
      <c r="R25" s="121"/>
      <c r="S25" s="121"/>
      <c r="T25" s="121"/>
      <c r="U25" s="121"/>
    </row>
    <row r="26" customFormat="false" ht="60" hidden="false" customHeight="true" outlineLevel="0" collapsed="false">
      <c r="A26" s="161"/>
      <c r="B26" s="178" t="s">
        <v>125</v>
      </c>
      <c r="C26" s="178"/>
      <c r="D26" s="178"/>
      <c r="E26" s="112"/>
      <c r="F26" s="187" t="n">
        <v>46115</v>
      </c>
      <c r="G26" s="179" t="n">
        <v>46115</v>
      </c>
      <c r="H26" s="179" t="n">
        <v>46115</v>
      </c>
      <c r="I26" s="179" t="n">
        <v>46115</v>
      </c>
      <c r="J26" s="179" t="n">
        <v>46115</v>
      </c>
      <c r="K26" s="179" t="n">
        <v>46115</v>
      </c>
      <c r="L26" s="179" t="n">
        <v>46115</v>
      </c>
      <c r="M26" s="179" t="n">
        <v>46115</v>
      </c>
      <c r="N26" s="121"/>
      <c r="O26" s="121"/>
      <c r="P26" s="121"/>
      <c r="Q26" s="121"/>
      <c r="R26" s="121"/>
      <c r="S26" s="121"/>
      <c r="T26" s="121"/>
      <c r="U26" s="121"/>
    </row>
    <row r="27" customFormat="false" ht="79.5" hidden="false" customHeight="true" outlineLevel="0" collapsed="false">
      <c r="A27" s="180"/>
      <c r="B27" s="181" t="s">
        <v>126</v>
      </c>
      <c r="C27" s="181"/>
      <c r="D27" s="181"/>
      <c r="E27" s="182"/>
      <c r="F27" s="183" t="s">
        <v>127</v>
      </c>
      <c r="G27" s="183" t="s">
        <v>128</v>
      </c>
      <c r="H27" s="183" t="s">
        <v>129</v>
      </c>
      <c r="I27" s="183" t="s">
        <v>130</v>
      </c>
      <c r="J27" s="183" t="s">
        <v>131</v>
      </c>
      <c r="K27" s="183" t="s">
        <v>132</v>
      </c>
      <c r="L27" s="183" t="s">
        <v>133</v>
      </c>
      <c r="M27" s="183" t="s">
        <v>191</v>
      </c>
      <c r="N27" s="121"/>
      <c r="O27" s="121"/>
      <c r="P27" s="121"/>
      <c r="Q27" s="121"/>
      <c r="R27" s="121"/>
      <c r="S27" s="121"/>
      <c r="T27" s="121"/>
      <c r="U27" s="121"/>
    </row>
    <row r="28" customFormat="false" ht="12" hidden="false" customHeight="true" outlineLevel="0" collapsed="false">
      <c r="A28" s="122"/>
      <c r="B28" s="121"/>
      <c r="C28" s="140"/>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ustomFormat="false" ht="13.5" hidden="false" customHeight="true" outlineLevel="0" collapsed="false">
      <c r="A29" s="121"/>
      <c r="B29" s="122"/>
      <c r="C29" s="121"/>
      <c r="D29" s="140"/>
      <c r="E29" s="121"/>
      <c r="F29" s="121"/>
      <c r="G29" s="121"/>
      <c r="H29" s="121"/>
      <c r="I29" s="121"/>
      <c r="J29" s="121"/>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4:D24"/>
    <mergeCell ref="B25:D25"/>
    <mergeCell ref="B26:D26"/>
    <mergeCell ref="B27:D27"/>
  </mergeCells>
  <dataValidations count="3">
    <dataValidation allowBlank="true" errorStyle="stop" operator="between" prompt=" - " showDropDown="false" showErrorMessage="true" showInputMessage="true" sqref="F10:M23" type="list">
      <formula1>"O"</formula1>
      <formula2>0</formula2>
    </dataValidation>
    <dataValidation allowBlank="true" errorStyle="stop" operator="between" prompt=" - " showDropDown="false" showErrorMessage="true" showInputMessage="true" sqref="F25:M25" type="list">
      <formula1>"P,F"</formula1>
      <formula2>0</formula2>
    </dataValidation>
    <dataValidation allowBlank="true" errorStyle="stop" operator="between" prompt=" - " showDropDown="false" showErrorMessage="true" showInputMessage="true" sqref="F24:M24"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192</v>
      </c>
      <c r="D2" s="125"/>
      <c r="E2" s="126"/>
      <c r="F2" s="127" t="s">
        <v>82</v>
      </c>
      <c r="G2" s="127"/>
      <c r="H2" s="127"/>
      <c r="I2" s="127"/>
      <c r="J2" s="127"/>
      <c r="K2" s="127"/>
      <c r="L2" s="128" t="s">
        <v>192</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170</v>
      </c>
      <c r="D4" s="55"/>
      <c r="E4" s="135"/>
      <c r="F4" s="136" t="s">
        <v>88</v>
      </c>
      <c r="G4" s="136"/>
      <c r="H4" s="136"/>
      <c r="I4" s="136"/>
      <c r="J4" s="136"/>
      <c r="K4" s="136"/>
      <c r="L4" s="57" t="n">
        <v>11</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193</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v>6</v>
      </c>
      <c r="B7" s="63"/>
      <c r="C7" s="64" t="n">
        <f aca="false">COUNTIF(F27:HQ27,"F")</f>
        <v>0</v>
      </c>
      <c r="D7" s="64"/>
      <c r="E7" s="64"/>
      <c r="F7" s="64" t="n">
        <v>0</v>
      </c>
      <c r="G7" s="64"/>
      <c r="H7" s="64"/>
      <c r="I7" s="64"/>
      <c r="J7" s="64"/>
      <c r="K7" s="64"/>
      <c r="L7" s="65" t="n">
        <v>1</v>
      </c>
      <c r="M7" s="65" t="n">
        <v>4</v>
      </c>
      <c r="N7" s="65" t="n">
        <v>1</v>
      </c>
      <c r="O7" s="66" t="n">
        <v>6</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21"/>
      <c r="M9" s="121"/>
      <c r="N9" s="121"/>
      <c r="O9" s="121"/>
      <c r="P9" s="146"/>
      <c r="Q9" s="137"/>
      <c r="R9" s="121"/>
      <c r="S9" s="121"/>
      <c r="T9" s="121"/>
      <c r="U9" s="121"/>
    </row>
    <row r="10" customFormat="false" ht="15.75" hidden="false" customHeight="true" outlineLevel="0" collapsed="false">
      <c r="A10" s="71" t="s">
        <v>103</v>
      </c>
      <c r="B10" s="147" t="s">
        <v>104</v>
      </c>
      <c r="C10" s="148"/>
      <c r="D10" s="80"/>
      <c r="E10" s="149"/>
      <c r="F10" s="150"/>
      <c r="G10" s="150"/>
      <c r="H10" s="150"/>
      <c r="I10" s="150"/>
      <c r="J10" s="150"/>
      <c r="K10" s="150"/>
      <c r="L10" s="121"/>
      <c r="M10" s="121"/>
      <c r="N10" s="121"/>
      <c r="O10" s="121"/>
      <c r="P10" s="121"/>
      <c r="Q10" s="121"/>
      <c r="R10" s="121"/>
      <c r="S10" s="121"/>
      <c r="T10" s="121"/>
      <c r="U10" s="121"/>
    </row>
    <row r="11" customFormat="false" ht="15.75" hidden="false" customHeight="true" outlineLevel="0" collapsed="false">
      <c r="A11" s="151"/>
      <c r="B11" s="147"/>
      <c r="C11" s="148"/>
      <c r="D11" s="80" t="s">
        <v>137</v>
      </c>
      <c r="E11" s="152"/>
      <c r="F11" s="150" t="s">
        <v>106</v>
      </c>
      <c r="G11" s="150" t="s">
        <v>106</v>
      </c>
      <c r="H11" s="150" t="s">
        <v>106</v>
      </c>
      <c r="I11" s="150" t="s">
        <v>106</v>
      </c>
      <c r="J11" s="150"/>
      <c r="K11" s="150" t="s">
        <v>106</v>
      </c>
      <c r="L11" s="121"/>
      <c r="M11" s="121"/>
      <c r="N11" s="121"/>
      <c r="O11" s="121"/>
      <c r="P11" s="121"/>
      <c r="Q11" s="137"/>
      <c r="R11" s="121"/>
      <c r="S11" s="121"/>
      <c r="T11" s="121"/>
      <c r="U11" s="121"/>
    </row>
    <row r="12" customFormat="false" ht="15.75" hidden="false" customHeight="true" outlineLevel="0" collapsed="false">
      <c r="A12" s="151"/>
      <c r="B12" s="147"/>
      <c r="C12" s="148"/>
      <c r="D12" s="80" t="s">
        <v>194</v>
      </c>
      <c r="E12" s="152"/>
      <c r="F12" s="150" t="s">
        <v>106</v>
      </c>
      <c r="G12" s="150"/>
      <c r="H12" s="150" t="s">
        <v>106</v>
      </c>
      <c r="I12" s="150" t="s">
        <v>106</v>
      </c>
      <c r="J12" s="150" t="s">
        <v>106</v>
      </c>
      <c r="K12" s="150" t="s">
        <v>106</v>
      </c>
      <c r="L12" s="121"/>
      <c r="M12" s="121"/>
      <c r="N12" s="121"/>
      <c r="O12" s="121"/>
      <c r="P12" s="121"/>
      <c r="Q12" s="121"/>
      <c r="R12" s="121"/>
      <c r="S12" s="121"/>
      <c r="T12" s="121"/>
      <c r="U12" s="121"/>
    </row>
    <row r="13" customFormat="false" ht="15.75" hidden="false" customHeight="true" outlineLevel="0" collapsed="false">
      <c r="A13" s="151"/>
      <c r="B13" s="147"/>
      <c r="C13" s="148"/>
      <c r="D13" s="80" t="s">
        <v>195</v>
      </c>
      <c r="E13" s="152"/>
      <c r="F13" s="150"/>
      <c r="G13" s="150" t="s">
        <v>106</v>
      </c>
      <c r="H13" s="150"/>
      <c r="I13" s="150"/>
      <c r="J13" s="150"/>
      <c r="K13" s="150"/>
      <c r="L13" s="121"/>
      <c r="M13" s="121"/>
      <c r="N13" s="121"/>
      <c r="O13" s="121"/>
      <c r="P13" s="121"/>
      <c r="Q13" s="121"/>
      <c r="R13" s="121"/>
      <c r="S13" s="121"/>
      <c r="T13" s="121"/>
      <c r="U13" s="121"/>
    </row>
    <row r="14" customFormat="false" ht="15.75" hidden="false" customHeight="true" outlineLevel="0" collapsed="false">
      <c r="A14" s="151"/>
      <c r="B14" s="147"/>
      <c r="C14" s="148"/>
      <c r="D14" s="80" t="s">
        <v>196</v>
      </c>
      <c r="E14" s="154"/>
      <c r="F14" s="150"/>
      <c r="G14" s="150"/>
      <c r="H14" s="150" t="s">
        <v>106</v>
      </c>
      <c r="I14" s="150"/>
      <c r="J14" s="150"/>
      <c r="K14" s="150"/>
      <c r="L14" s="121"/>
      <c r="M14" s="121"/>
      <c r="N14" s="121"/>
      <c r="O14" s="121"/>
      <c r="P14" s="121"/>
      <c r="Q14" s="121"/>
      <c r="R14" s="121"/>
      <c r="S14" s="121"/>
      <c r="T14" s="121"/>
      <c r="U14" s="121"/>
    </row>
    <row r="15" customFormat="false" ht="15.75" hidden="false" customHeight="true" outlineLevel="0" collapsed="false">
      <c r="A15" s="161"/>
      <c r="B15" s="88"/>
      <c r="C15" s="158"/>
      <c r="D15" s="159" t="s">
        <v>197</v>
      </c>
      <c r="E15" s="185"/>
      <c r="F15" s="157"/>
      <c r="G15" s="157"/>
      <c r="H15" s="157"/>
      <c r="I15" s="157" t="s">
        <v>106</v>
      </c>
      <c r="J15" s="157"/>
      <c r="K15" s="157"/>
      <c r="L15" s="121"/>
      <c r="M15" s="121"/>
      <c r="N15" s="121"/>
      <c r="O15" s="121"/>
      <c r="P15" s="121"/>
      <c r="Q15" s="121"/>
      <c r="R15" s="121"/>
      <c r="S15" s="121"/>
      <c r="T15" s="121"/>
      <c r="U15" s="121"/>
    </row>
    <row r="16" customFormat="false" ht="15.75" hidden="false" customHeight="true" outlineLevel="0" collapsed="false">
      <c r="A16" s="161"/>
      <c r="B16" s="88"/>
      <c r="C16" s="158"/>
      <c r="D16" s="159" t="s">
        <v>198</v>
      </c>
      <c r="E16" s="185"/>
      <c r="F16" s="157"/>
      <c r="G16" s="157"/>
      <c r="H16" s="157"/>
      <c r="I16" s="157"/>
      <c r="J16" s="157" t="s">
        <v>106</v>
      </c>
      <c r="K16" s="157"/>
      <c r="L16" s="121"/>
      <c r="M16" s="121"/>
      <c r="N16" s="121"/>
      <c r="O16" s="121"/>
      <c r="P16" s="121"/>
      <c r="Q16" s="121"/>
      <c r="R16" s="121"/>
      <c r="S16" s="121"/>
      <c r="T16" s="121"/>
      <c r="U16" s="121"/>
    </row>
    <row r="17" customFormat="false" ht="15.75" hidden="false" customHeight="true" outlineLevel="0" collapsed="false">
      <c r="A17" s="161"/>
      <c r="B17" s="88"/>
      <c r="C17" s="158"/>
      <c r="D17" s="159" t="s">
        <v>199</v>
      </c>
      <c r="E17" s="185"/>
      <c r="F17" s="157"/>
      <c r="G17" s="157"/>
      <c r="H17" s="157"/>
      <c r="I17" s="157"/>
      <c r="J17" s="157"/>
      <c r="K17" s="157" t="s">
        <v>106</v>
      </c>
      <c r="L17" s="121"/>
      <c r="M17" s="121"/>
      <c r="N17" s="121"/>
      <c r="O17" s="121"/>
      <c r="P17" s="121"/>
      <c r="Q17" s="121"/>
      <c r="R17" s="121"/>
      <c r="S17" s="121"/>
      <c r="T17" s="121"/>
      <c r="U17" s="121"/>
    </row>
    <row r="18" customFormat="false" ht="15.75" hidden="false" customHeight="true" outlineLevel="0" collapsed="false">
      <c r="A18" s="87" t="s">
        <v>111</v>
      </c>
      <c r="B18" s="88" t="s">
        <v>112</v>
      </c>
      <c r="C18" s="158"/>
      <c r="D18" s="159"/>
      <c r="E18" s="160"/>
      <c r="F18" s="157"/>
      <c r="G18" s="157"/>
      <c r="H18" s="157"/>
      <c r="I18" s="157"/>
      <c r="J18" s="157"/>
      <c r="K18" s="157"/>
      <c r="L18" s="121"/>
      <c r="M18" s="121"/>
      <c r="N18" s="121"/>
      <c r="O18" s="121"/>
      <c r="P18" s="121"/>
      <c r="Q18" s="121"/>
      <c r="R18" s="121"/>
      <c r="S18" s="121"/>
      <c r="T18" s="121"/>
      <c r="U18" s="121"/>
    </row>
    <row r="19" customFormat="false" ht="15.75" hidden="false" customHeight="true" outlineLevel="0" collapsed="false">
      <c r="A19" s="161"/>
      <c r="B19" s="97"/>
      <c r="C19" s="162"/>
      <c r="D19" s="99" t="s">
        <v>200</v>
      </c>
      <c r="E19" s="163"/>
      <c r="F19" s="150" t="s">
        <v>106</v>
      </c>
      <c r="G19" s="150" t="s">
        <v>106</v>
      </c>
      <c r="H19" s="150" t="s">
        <v>106</v>
      </c>
      <c r="I19" s="150" t="s">
        <v>106</v>
      </c>
      <c r="J19" s="150"/>
      <c r="K19" s="150" t="s">
        <v>106</v>
      </c>
      <c r="L19" s="121"/>
      <c r="M19" s="121"/>
      <c r="N19" s="121"/>
      <c r="O19" s="121"/>
      <c r="P19" s="121"/>
      <c r="Q19" s="121"/>
      <c r="R19" s="121"/>
      <c r="S19" s="121"/>
      <c r="T19" s="121"/>
      <c r="U19" s="121"/>
    </row>
    <row r="20" customFormat="false" ht="15.75" hidden="false" customHeight="true" outlineLevel="0" collapsed="false">
      <c r="A20" s="161"/>
      <c r="B20" s="97"/>
      <c r="C20" s="56"/>
      <c r="D20" s="99" t="s">
        <v>201</v>
      </c>
      <c r="E20" s="164"/>
      <c r="F20" s="150" t="s">
        <v>106</v>
      </c>
      <c r="G20" s="150" t="s">
        <v>106</v>
      </c>
      <c r="H20" s="150" t="s">
        <v>106</v>
      </c>
      <c r="I20" s="150" t="s">
        <v>106</v>
      </c>
      <c r="J20" s="150"/>
      <c r="K20" s="150" t="s">
        <v>106</v>
      </c>
      <c r="L20" s="121"/>
      <c r="M20" s="121"/>
      <c r="N20" s="121"/>
      <c r="O20" s="121"/>
      <c r="P20" s="121"/>
      <c r="Q20" s="121"/>
      <c r="R20" s="121"/>
      <c r="S20" s="121"/>
      <c r="T20" s="121"/>
      <c r="U20" s="121"/>
    </row>
    <row r="21" customFormat="false" ht="15.75" hidden="false" customHeight="true" outlineLevel="0" collapsed="false">
      <c r="A21" s="161"/>
      <c r="B21" s="97"/>
      <c r="C21" s="56"/>
      <c r="D21" s="99" t="s">
        <v>202</v>
      </c>
      <c r="E21" s="164"/>
      <c r="F21" s="150" t="s">
        <v>106</v>
      </c>
      <c r="G21" s="150"/>
      <c r="H21" s="150"/>
      <c r="I21" s="150"/>
      <c r="J21" s="150" t="s">
        <v>106</v>
      </c>
      <c r="K21" s="150" t="s">
        <v>106</v>
      </c>
      <c r="L21" s="121"/>
      <c r="M21" s="121"/>
      <c r="N21" s="121"/>
      <c r="O21" s="121"/>
      <c r="P21" s="121"/>
      <c r="Q21" s="121"/>
      <c r="R21" s="121"/>
      <c r="S21" s="121"/>
      <c r="T21" s="121"/>
      <c r="U21" s="121"/>
    </row>
    <row r="22" customFormat="false" ht="15.75" hidden="false" customHeight="true" outlineLevel="0" collapsed="false">
      <c r="A22" s="161"/>
      <c r="B22" s="97" t="s">
        <v>116</v>
      </c>
      <c r="C22" s="56"/>
      <c r="D22" s="99"/>
      <c r="E22" s="164"/>
      <c r="F22" s="150"/>
      <c r="G22" s="150"/>
      <c r="H22" s="150"/>
      <c r="I22" s="150"/>
      <c r="J22" s="150"/>
      <c r="K22" s="150"/>
      <c r="L22" s="121"/>
      <c r="M22" s="121"/>
      <c r="N22" s="121"/>
      <c r="O22" s="121"/>
      <c r="P22" s="121"/>
      <c r="Q22" s="121"/>
      <c r="R22" s="121"/>
      <c r="S22" s="121"/>
      <c r="T22" s="121"/>
      <c r="U22" s="121"/>
    </row>
    <row r="23" customFormat="false" ht="15.75" hidden="false" customHeight="true" outlineLevel="0" collapsed="false">
      <c r="A23" s="161"/>
      <c r="B23" s="97"/>
      <c r="C23" s="56"/>
      <c r="D23" s="99" t="s">
        <v>203</v>
      </c>
      <c r="E23" s="164"/>
      <c r="F23" s="150" t="s">
        <v>106</v>
      </c>
      <c r="G23" s="150"/>
      <c r="H23" s="150"/>
      <c r="I23" s="150"/>
      <c r="J23" s="150"/>
      <c r="K23" s="150" t="s">
        <v>106</v>
      </c>
      <c r="L23" s="121"/>
      <c r="M23" s="121"/>
      <c r="N23" s="121"/>
      <c r="O23" s="121"/>
      <c r="P23" s="121"/>
      <c r="Q23" s="121"/>
      <c r="R23" s="121"/>
      <c r="S23" s="121"/>
      <c r="T23" s="121"/>
      <c r="U23" s="121"/>
    </row>
    <row r="24" customFormat="false" ht="15.75" hidden="false" customHeight="true" outlineLevel="0" collapsed="false">
      <c r="A24" s="161"/>
      <c r="B24" s="97"/>
      <c r="C24" s="56"/>
      <c r="D24" s="99" t="s">
        <v>204</v>
      </c>
      <c r="E24" s="164"/>
      <c r="F24" s="150"/>
      <c r="G24" s="150" t="s">
        <v>106</v>
      </c>
      <c r="H24" s="150" t="s">
        <v>106</v>
      </c>
      <c r="I24" s="150" t="s">
        <v>106</v>
      </c>
      <c r="J24" s="150"/>
      <c r="K24" s="150"/>
      <c r="L24" s="121"/>
      <c r="M24" s="121"/>
      <c r="N24" s="121"/>
      <c r="O24" s="121"/>
      <c r="P24" s="121"/>
      <c r="Q24" s="121"/>
      <c r="R24" s="121"/>
      <c r="S24" s="121"/>
      <c r="T24" s="121"/>
      <c r="U24" s="121"/>
    </row>
    <row r="25" customFormat="false" ht="15.75" hidden="false" customHeight="true" outlineLevel="0" collapsed="false">
      <c r="A25" s="161"/>
      <c r="B25" s="97"/>
      <c r="C25" s="56"/>
      <c r="D25" s="99" t="s">
        <v>205</v>
      </c>
      <c r="E25" s="164"/>
      <c r="F25" s="150"/>
      <c r="G25" s="150"/>
      <c r="H25" s="150"/>
      <c r="I25" s="150"/>
      <c r="J25" s="150" t="s">
        <v>106</v>
      </c>
      <c r="K25" s="150" t="s">
        <v>106</v>
      </c>
      <c r="L25" s="121"/>
      <c r="M25" s="121"/>
      <c r="N25" s="121"/>
      <c r="O25" s="121"/>
      <c r="P25" s="121"/>
      <c r="Q25" s="121"/>
      <c r="R25" s="121"/>
      <c r="S25" s="121"/>
      <c r="T25" s="121"/>
      <c r="U25" s="121"/>
    </row>
    <row r="26" customFormat="false" ht="15.75" hidden="false" customHeight="true" outlineLevel="0" collapsed="false">
      <c r="A26" s="87" t="s">
        <v>120</v>
      </c>
      <c r="B26" s="173" t="s">
        <v>121</v>
      </c>
      <c r="C26" s="173"/>
      <c r="D26" s="173"/>
      <c r="E26" s="173"/>
      <c r="F26" s="174" t="s">
        <v>122</v>
      </c>
      <c r="G26" s="174" t="s">
        <v>66</v>
      </c>
      <c r="H26" s="174" t="s">
        <v>66</v>
      </c>
      <c r="I26" s="174" t="s">
        <v>66</v>
      </c>
      <c r="J26" s="174" t="s">
        <v>66</v>
      </c>
      <c r="K26" s="174" t="s">
        <v>150</v>
      </c>
      <c r="L26" s="121"/>
      <c r="M26" s="121"/>
      <c r="N26" s="121"/>
      <c r="O26" s="121"/>
      <c r="P26" s="121"/>
      <c r="Q26" s="121"/>
      <c r="R26" s="121"/>
      <c r="S26" s="121"/>
      <c r="T26" s="121"/>
      <c r="U26" s="121"/>
    </row>
    <row r="27" customFormat="false" ht="15.75" hidden="false" customHeight="true" outlineLevel="0" collapsed="false">
      <c r="A27" s="161"/>
      <c r="B27" s="175" t="s">
        <v>123</v>
      </c>
      <c r="C27" s="175"/>
      <c r="D27" s="175"/>
      <c r="E27" s="176"/>
      <c r="F27" s="177" t="s">
        <v>124</v>
      </c>
      <c r="G27" s="177" t="s">
        <v>124</v>
      </c>
      <c r="H27" s="177" t="s">
        <v>124</v>
      </c>
      <c r="I27" s="177" t="s">
        <v>124</v>
      </c>
      <c r="J27" s="177" t="s">
        <v>124</v>
      </c>
      <c r="K27" s="177" t="s">
        <v>124</v>
      </c>
      <c r="L27" s="121"/>
      <c r="M27" s="121"/>
      <c r="N27" s="121"/>
      <c r="O27" s="121"/>
      <c r="P27" s="121"/>
      <c r="Q27" s="121"/>
      <c r="R27" s="121"/>
      <c r="S27" s="121"/>
      <c r="T27" s="121"/>
      <c r="U27" s="121"/>
    </row>
    <row r="28" customFormat="false" ht="60" hidden="false" customHeight="true" outlineLevel="0" collapsed="false">
      <c r="A28" s="161"/>
      <c r="B28" s="178" t="s">
        <v>125</v>
      </c>
      <c r="C28" s="178"/>
      <c r="D28" s="178"/>
      <c r="E28" s="112"/>
      <c r="F28" s="179" t="n">
        <v>46058</v>
      </c>
      <c r="G28" s="179" t="n">
        <v>46058</v>
      </c>
      <c r="H28" s="179" t="n">
        <v>46058</v>
      </c>
      <c r="I28" s="179" t="n">
        <v>46058</v>
      </c>
      <c r="J28" s="179" t="n">
        <v>46058</v>
      </c>
      <c r="K28" s="179" t="n">
        <v>46058</v>
      </c>
      <c r="L28" s="121"/>
      <c r="M28" s="121"/>
      <c r="N28" s="121"/>
      <c r="O28" s="121"/>
      <c r="P28" s="121"/>
      <c r="Q28" s="121"/>
      <c r="R28" s="121"/>
      <c r="S28" s="121"/>
      <c r="T28" s="121"/>
      <c r="U28" s="121"/>
    </row>
    <row r="29" customFormat="false" ht="79.5" hidden="false" customHeight="true" outlineLevel="0" collapsed="false">
      <c r="A29" s="180"/>
      <c r="B29" s="181" t="s">
        <v>126</v>
      </c>
      <c r="C29" s="181"/>
      <c r="D29" s="181"/>
      <c r="E29" s="182"/>
      <c r="F29" s="183" t="s">
        <v>127</v>
      </c>
      <c r="G29" s="183" t="s">
        <v>128</v>
      </c>
      <c r="H29" s="183" t="s">
        <v>129</v>
      </c>
      <c r="I29" s="183" t="s">
        <v>130</v>
      </c>
      <c r="J29" s="183" t="s">
        <v>131</v>
      </c>
      <c r="K29" s="183" t="s">
        <v>132</v>
      </c>
      <c r="L29" s="121"/>
      <c r="M29" s="121"/>
      <c r="N29" s="121"/>
      <c r="O29" s="121"/>
      <c r="P29" s="121"/>
      <c r="Q29" s="121"/>
      <c r="R29" s="121"/>
      <c r="S29" s="121"/>
      <c r="T29" s="121"/>
      <c r="U29" s="121"/>
    </row>
    <row r="30" customFormat="false" ht="12" hidden="false" customHeight="true" outlineLevel="0" collapsed="false">
      <c r="A30" s="122"/>
      <c r="B30" s="121"/>
      <c r="C30" s="140"/>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N987" s="121"/>
      <c r="O987" s="121"/>
      <c r="P987" s="121"/>
      <c r="Q987" s="121"/>
      <c r="R987" s="121"/>
      <c r="S987" s="121"/>
      <c r="T987" s="121"/>
      <c r="U987" s="121"/>
      <c r="V987" s="121"/>
      <c r="W987" s="121"/>
      <c r="X987" s="121"/>
      <c r="Y987" s="121"/>
      <c r="Z987"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allowBlank="true" errorStyle="stop" operator="between" prompt=" - " showDropDown="false" showErrorMessage="true" showInputMessage="true" sqref="F10:K25" type="list">
      <formula1>"O"</formula1>
      <formula2>0</formula2>
    </dataValidation>
    <dataValidation allowBlank="true" errorStyle="stop" operator="between" prompt=" - " showDropDown="false" showErrorMessage="true" showInputMessage="true" sqref="F27:K27" type="list">
      <formula1>"P,F"</formula1>
      <formula2>0</formula2>
    </dataValidation>
    <dataValidation allowBlank="true" errorStyle="stop" operator="between" prompt=" - " showDropDown="false" showErrorMessage="true" showInputMessage="true" sqref="F26:K26"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206</v>
      </c>
      <c r="D2" s="125"/>
      <c r="E2" s="126"/>
      <c r="F2" s="127" t="s">
        <v>82</v>
      </c>
      <c r="G2" s="127"/>
      <c r="H2" s="127"/>
      <c r="I2" s="127"/>
      <c r="J2" s="127"/>
      <c r="K2" s="127"/>
      <c r="L2" s="128" t="s">
        <v>206</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220</v>
      </c>
      <c r="D4" s="55"/>
      <c r="E4" s="135"/>
      <c r="F4" s="136" t="s">
        <v>88</v>
      </c>
      <c r="G4" s="136"/>
      <c r="H4" s="136"/>
      <c r="I4" s="136"/>
      <c r="J4" s="136"/>
      <c r="K4" s="136"/>
      <c r="L4" s="57" t="n">
        <v>14</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193</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COUNTIF(F25:HQ25,"P")</f>
        <v>8</v>
      </c>
      <c r="B7" s="63"/>
      <c r="C7" s="64" t="n">
        <f aca="false">COUNTIF(F25:HQ25,"F")</f>
        <v>0</v>
      </c>
      <c r="D7" s="64"/>
      <c r="E7" s="64"/>
      <c r="F7" s="64" t="n">
        <f aca="false">SUM(O7,-A7,-C7)</f>
        <v>0</v>
      </c>
      <c r="G7" s="64"/>
      <c r="H7" s="64"/>
      <c r="I7" s="64"/>
      <c r="J7" s="64"/>
      <c r="K7" s="64"/>
      <c r="L7" s="65" t="n">
        <f aca="false">COUNTIF(E24:HQ24,"N")</f>
        <v>3</v>
      </c>
      <c r="M7" s="65" t="n">
        <f aca="false">COUNTIF(E24:HQ24,"A")</f>
        <v>5</v>
      </c>
      <c r="N7" s="65" t="n">
        <f aca="false">COUNTIF(E24:HQ24,"B")</f>
        <v>0</v>
      </c>
      <c r="O7" s="66" t="n">
        <f aca="false">COUNTA(E9:HT9)</f>
        <v>8</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45" t="s">
        <v>102</v>
      </c>
      <c r="M9" s="145" t="s">
        <v>179</v>
      </c>
      <c r="N9" s="121"/>
      <c r="O9" s="121"/>
      <c r="P9" s="146"/>
      <c r="Q9" s="137"/>
      <c r="R9" s="121"/>
      <c r="S9" s="121"/>
      <c r="T9" s="121"/>
      <c r="U9" s="121"/>
    </row>
    <row r="10" customFormat="false" ht="15.75" hidden="false" customHeight="true" outlineLevel="0" collapsed="false">
      <c r="A10" s="71" t="s">
        <v>103</v>
      </c>
      <c r="B10" s="147" t="s">
        <v>104</v>
      </c>
      <c r="C10" s="148"/>
      <c r="D10" s="80"/>
      <c r="E10" s="149"/>
      <c r="F10" s="150"/>
      <c r="G10" s="150"/>
      <c r="H10" s="150"/>
      <c r="I10" s="150"/>
      <c r="J10" s="150"/>
      <c r="K10" s="150"/>
      <c r="L10" s="150"/>
      <c r="M10" s="150"/>
      <c r="N10" s="121"/>
      <c r="O10" s="121"/>
      <c r="P10" s="121"/>
      <c r="Q10" s="121"/>
      <c r="R10" s="121"/>
      <c r="S10" s="121"/>
      <c r="T10" s="121"/>
      <c r="U10" s="121"/>
    </row>
    <row r="11" customFormat="false" ht="15.75" hidden="false" customHeight="true" outlineLevel="0" collapsed="false">
      <c r="A11" s="151"/>
      <c r="B11" s="147"/>
      <c r="C11" s="148"/>
      <c r="D11" s="80" t="s">
        <v>207</v>
      </c>
      <c r="E11" s="152"/>
      <c r="F11" s="150" t="s">
        <v>106</v>
      </c>
      <c r="G11" s="150"/>
      <c r="H11" s="150"/>
      <c r="I11" s="150"/>
      <c r="J11" s="150"/>
      <c r="K11" s="150"/>
      <c r="L11" s="150"/>
      <c r="M11" s="150"/>
      <c r="N11" s="121"/>
      <c r="O11" s="121"/>
      <c r="P11" s="121"/>
      <c r="Q11" s="137"/>
      <c r="R11" s="121"/>
      <c r="S11" s="121"/>
      <c r="T11" s="121"/>
      <c r="U11" s="121"/>
    </row>
    <row r="12" customFormat="false" ht="15.75" hidden="false" customHeight="true" outlineLevel="0" collapsed="false">
      <c r="A12" s="151"/>
      <c r="B12" s="147"/>
      <c r="C12" s="148"/>
      <c r="D12" s="80" t="s">
        <v>208</v>
      </c>
      <c r="E12" s="152"/>
      <c r="F12" s="150"/>
      <c r="G12" s="150" t="s">
        <v>106</v>
      </c>
      <c r="H12" s="150"/>
      <c r="I12" s="150"/>
      <c r="J12" s="150"/>
      <c r="K12" s="150"/>
      <c r="L12" s="150"/>
      <c r="M12" s="150"/>
      <c r="N12" s="121"/>
      <c r="O12" s="121"/>
      <c r="P12" s="121"/>
      <c r="Q12" s="121"/>
      <c r="R12" s="121"/>
      <c r="S12" s="121"/>
      <c r="T12" s="121"/>
      <c r="U12" s="121"/>
    </row>
    <row r="13" customFormat="false" ht="15.75" hidden="false" customHeight="true" outlineLevel="0" collapsed="false">
      <c r="A13" s="151"/>
      <c r="B13" s="147"/>
      <c r="C13" s="148"/>
      <c r="D13" s="80" t="s">
        <v>209</v>
      </c>
      <c r="E13" s="152"/>
      <c r="F13" s="150"/>
      <c r="G13" s="150"/>
      <c r="H13" s="150" t="s">
        <v>106</v>
      </c>
      <c r="I13" s="150"/>
      <c r="J13" s="150"/>
      <c r="K13" s="150"/>
      <c r="L13" s="150"/>
      <c r="M13" s="150"/>
      <c r="N13" s="121"/>
      <c r="O13" s="121"/>
      <c r="P13" s="121"/>
      <c r="Q13" s="121"/>
      <c r="R13" s="121"/>
      <c r="S13" s="121"/>
      <c r="T13" s="121"/>
      <c r="U13" s="121"/>
    </row>
    <row r="14" customFormat="false" ht="15.75" hidden="false" customHeight="true" outlineLevel="0" collapsed="false">
      <c r="A14" s="151"/>
      <c r="B14" s="147"/>
      <c r="C14" s="148"/>
      <c r="D14" s="80" t="s">
        <v>210</v>
      </c>
      <c r="E14" s="154"/>
      <c r="F14" s="150"/>
      <c r="G14" s="150"/>
      <c r="H14" s="150"/>
      <c r="I14" s="150" t="s">
        <v>106</v>
      </c>
      <c r="J14" s="150"/>
      <c r="K14" s="150"/>
      <c r="L14" s="150"/>
      <c r="M14" s="150"/>
      <c r="N14" s="121"/>
      <c r="O14" s="121"/>
      <c r="P14" s="121"/>
      <c r="Q14" s="121"/>
      <c r="R14" s="121"/>
      <c r="S14" s="121"/>
      <c r="T14" s="121"/>
      <c r="U14" s="121"/>
    </row>
    <row r="15" customFormat="false" ht="15.75" hidden="false" customHeight="true" outlineLevel="0" collapsed="false">
      <c r="A15" s="161"/>
      <c r="B15" s="88"/>
      <c r="C15" s="158"/>
      <c r="D15" s="159" t="s">
        <v>211</v>
      </c>
      <c r="E15" s="185"/>
      <c r="F15" s="157"/>
      <c r="G15" s="157"/>
      <c r="H15" s="157"/>
      <c r="I15" s="157"/>
      <c r="J15" s="157" t="s">
        <v>106</v>
      </c>
      <c r="K15" s="157" t="s">
        <v>106</v>
      </c>
      <c r="L15" s="157" t="s">
        <v>106</v>
      </c>
      <c r="M15" s="157" t="s">
        <v>106</v>
      </c>
      <c r="N15" s="121"/>
      <c r="O15" s="121"/>
      <c r="P15" s="121"/>
      <c r="Q15" s="121"/>
      <c r="R15" s="121"/>
      <c r="S15" s="121"/>
      <c r="T15" s="121"/>
      <c r="U15" s="121"/>
    </row>
    <row r="16" customFormat="false" ht="15.75" hidden="false" customHeight="true" outlineLevel="0" collapsed="false">
      <c r="A16" s="87" t="s">
        <v>111</v>
      </c>
      <c r="B16" s="88" t="s">
        <v>112</v>
      </c>
      <c r="C16" s="158"/>
      <c r="D16" s="159"/>
      <c r="E16" s="160"/>
      <c r="F16" s="157"/>
      <c r="G16" s="157"/>
      <c r="H16" s="157"/>
      <c r="I16" s="157"/>
      <c r="J16" s="157"/>
      <c r="K16" s="157"/>
      <c r="L16" s="157"/>
      <c r="M16" s="157"/>
      <c r="N16" s="121"/>
      <c r="O16" s="121"/>
      <c r="P16" s="121"/>
      <c r="Q16" s="121"/>
      <c r="R16" s="121"/>
      <c r="S16" s="121"/>
      <c r="T16" s="121"/>
      <c r="U16" s="121"/>
    </row>
    <row r="17" customFormat="false" ht="15.75" hidden="false" customHeight="true" outlineLevel="0" collapsed="false">
      <c r="A17" s="161"/>
      <c r="B17" s="97"/>
      <c r="C17" s="162"/>
      <c r="D17" s="99" t="s">
        <v>212</v>
      </c>
      <c r="E17" s="163"/>
      <c r="F17" s="150" t="s">
        <v>106</v>
      </c>
      <c r="G17" s="150" t="s">
        <v>106</v>
      </c>
      <c r="H17" s="150"/>
      <c r="I17" s="150"/>
      <c r="J17" s="150"/>
      <c r="K17" s="150"/>
      <c r="L17" s="150"/>
      <c r="M17" s="150"/>
      <c r="N17" s="121"/>
      <c r="O17" s="121"/>
      <c r="P17" s="121"/>
      <c r="Q17" s="121"/>
      <c r="R17" s="121"/>
      <c r="S17" s="121"/>
      <c r="T17" s="121"/>
      <c r="U17" s="121"/>
    </row>
    <row r="18" customFormat="false" ht="15.75" hidden="false" customHeight="true" outlineLevel="0" collapsed="false">
      <c r="A18" s="161"/>
      <c r="B18" s="97"/>
      <c r="C18" s="56"/>
      <c r="D18" s="99" t="s">
        <v>213</v>
      </c>
      <c r="E18" s="164"/>
      <c r="F18" s="150"/>
      <c r="G18" s="150"/>
      <c r="H18" s="150" t="s">
        <v>106</v>
      </c>
      <c r="I18" s="150" t="s">
        <v>106</v>
      </c>
      <c r="J18" s="150"/>
      <c r="K18" s="150"/>
      <c r="L18" s="150"/>
      <c r="M18" s="150"/>
      <c r="N18" s="121"/>
      <c r="O18" s="121"/>
      <c r="P18" s="121"/>
      <c r="Q18" s="121"/>
      <c r="R18" s="121"/>
      <c r="S18" s="121"/>
      <c r="T18" s="121"/>
      <c r="U18" s="121"/>
    </row>
    <row r="19" customFormat="false" ht="15.75" hidden="false" customHeight="true" outlineLevel="0" collapsed="false">
      <c r="A19" s="161"/>
      <c r="B19" s="97"/>
      <c r="C19" s="56"/>
      <c r="D19" s="99" t="s">
        <v>214</v>
      </c>
      <c r="E19" s="164"/>
      <c r="F19" s="150"/>
      <c r="G19" s="150"/>
      <c r="H19" s="150"/>
      <c r="I19" s="150"/>
      <c r="J19" s="150" t="s">
        <v>106</v>
      </c>
      <c r="K19" s="150" t="s">
        <v>106</v>
      </c>
      <c r="L19" s="150" t="s">
        <v>106</v>
      </c>
      <c r="M19" s="150" t="s">
        <v>106</v>
      </c>
      <c r="N19" s="121"/>
      <c r="O19" s="121"/>
      <c r="P19" s="121"/>
      <c r="Q19" s="121"/>
      <c r="R19" s="121"/>
      <c r="S19" s="121"/>
      <c r="T19" s="121"/>
      <c r="U19" s="121"/>
    </row>
    <row r="20" customFormat="false" ht="15.75" hidden="false" customHeight="true" outlineLevel="0" collapsed="false">
      <c r="A20" s="161"/>
      <c r="B20" s="97" t="s">
        <v>116</v>
      </c>
      <c r="C20" s="56"/>
      <c r="D20" s="99"/>
      <c r="E20" s="164"/>
      <c r="F20" s="150"/>
      <c r="G20" s="150"/>
      <c r="H20" s="150"/>
      <c r="I20" s="150"/>
      <c r="J20" s="150"/>
      <c r="K20" s="150"/>
      <c r="L20" s="150"/>
      <c r="M20" s="150"/>
      <c r="N20" s="121"/>
      <c r="O20" s="121"/>
      <c r="P20" s="121"/>
      <c r="Q20" s="121"/>
      <c r="R20" s="121"/>
      <c r="S20" s="121"/>
      <c r="T20" s="121"/>
      <c r="U20" s="121"/>
    </row>
    <row r="21" customFormat="false" ht="15.75" hidden="false" customHeight="true" outlineLevel="0" collapsed="false">
      <c r="A21" s="161"/>
      <c r="B21" s="97"/>
      <c r="C21" s="56"/>
      <c r="D21" s="99" t="s">
        <v>215</v>
      </c>
      <c r="E21" s="164"/>
      <c r="F21" s="150" t="s">
        <v>106</v>
      </c>
      <c r="G21" s="150" t="s">
        <v>106</v>
      </c>
      <c r="H21" s="150"/>
      <c r="I21" s="150"/>
      <c r="J21" s="150"/>
      <c r="K21" s="150"/>
      <c r="L21" s="150"/>
      <c r="M21" s="150" t="s">
        <v>106</v>
      </c>
      <c r="N21" s="121"/>
      <c r="O21" s="121"/>
      <c r="P21" s="121"/>
      <c r="Q21" s="121"/>
      <c r="R21" s="121"/>
      <c r="S21" s="121"/>
      <c r="T21" s="121"/>
      <c r="U21" s="121"/>
    </row>
    <row r="22" customFormat="false" ht="15.75" hidden="false" customHeight="true" outlineLevel="0" collapsed="false">
      <c r="A22" s="161"/>
      <c r="B22" s="97"/>
      <c r="C22" s="56"/>
      <c r="D22" s="99" t="s">
        <v>216</v>
      </c>
      <c r="E22" s="164"/>
      <c r="F22" s="150"/>
      <c r="G22" s="150"/>
      <c r="H22" s="150" t="s">
        <v>106</v>
      </c>
      <c r="I22" s="150" t="s">
        <v>106</v>
      </c>
      <c r="J22" s="150" t="s">
        <v>106</v>
      </c>
      <c r="K22" s="150" t="s">
        <v>106</v>
      </c>
      <c r="L22" s="150" t="s">
        <v>106</v>
      </c>
      <c r="M22" s="150"/>
      <c r="N22" s="121"/>
      <c r="O22" s="121"/>
      <c r="P22" s="121"/>
      <c r="Q22" s="121"/>
      <c r="R22" s="121"/>
      <c r="S22" s="121"/>
      <c r="T22" s="121"/>
      <c r="U22" s="121"/>
    </row>
    <row r="23" customFormat="false" ht="15.75" hidden="false" customHeight="true" outlineLevel="0" collapsed="false">
      <c r="A23" s="161"/>
      <c r="B23" s="97"/>
      <c r="C23" s="56"/>
      <c r="D23" s="99" t="s">
        <v>217</v>
      </c>
      <c r="E23" s="164"/>
      <c r="F23" s="150"/>
      <c r="G23" s="150"/>
      <c r="H23" s="150"/>
      <c r="I23" s="150"/>
      <c r="J23" s="150"/>
      <c r="K23" s="150"/>
      <c r="L23" s="150"/>
      <c r="M23" s="150" t="s">
        <v>106</v>
      </c>
      <c r="N23" s="121"/>
      <c r="O23" s="121"/>
      <c r="P23" s="121"/>
      <c r="Q23" s="121"/>
      <c r="R23" s="121"/>
      <c r="S23" s="121"/>
      <c r="T23" s="121"/>
      <c r="U23" s="121"/>
    </row>
    <row r="24" customFormat="false" ht="15.75" hidden="false" customHeight="true" outlineLevel="0" collapsed="false">
      <c r="A24" s="87" t="s">
        <v>120</v>
      </c>
      <c r="B24" s="173" t="s">
        <v>121</v>
      </c>
      <c r="C24" s="173"/>
      <c r="D24" s="173"/>
      <c r="E24" s="173"/>
      <c r="F24" s="174" t="s">
        <v>122</v>
      </c>
      <c r="G24" s="174" t="s">
        <v>122</v>
      </c>
      <c r="H24" s="174" t="s">
        <v>66</v>
      </c>
      <c r="I24" s="174" t="s">
        <v>66</v>
      </c>
      <c r="J24" s="174" t="s">
        <v>66</v>
      </c>
      <c r="K24" s="174" t="s">
        <v>66</v>
      </c>
      <c r="L24" s="174" t="s">
        <v>66</v>
      </c>
      <c r="M24" s="174" t="s">
        <v>122</v>
      </c>
      <c r="N24" s="121"/>
      <c r="O24" s="121"/>
      <c r="P24" s="121"/>
      <c r="Q24" s="121"/>
      <c r="R24" s="121"/>
      <c r="S24" s="121"/>
      <c r="T24" s="121"/>
      <c r="U24" s="121"/>
    </row>
    <row r="25" customFormat="false" ht="15.75" hidden="false" customHeight="true" outlineLevel="0" collapsed="false">
      <c r="A25" s="161"/>
      <c r="B25" s="175" t="s">
        <v>123</v>
      </c>
      <c r="C25" s="175"/>
      <c r="D25" s="175"/>
      <c r="E25" s="176"/>
      <c r="F25" s="177" t="s">
        <v>124</v>
      </c>
      <c r="G25" s="177" t="s">
        <v>124</v>
      </c>
      <c r="H25" s="177" t="s">
        <v>124</v>
      </c>
      <c r="I25" s="177" t="s">
        <v>124</v>
      </c>
      <c r="J25" s="177" t="s">
        <v>124</v>
      </c>
      <c r="K25" s="177" t="s">
        <v>124</v>
      </c>
      <c r="L25" s="177" t="s">
        <v>124</v>
      </c>
      <c r="M25" s="177" t="s">
        <v>124</v>
      </c>
      <c r="N25" s="121"/>
      <c r="O25" s="121"/>
      <c r="P25" s="121"/>
      <c r="Q25" s="121"/>
      <c r="R25" s="121"/>
      <c r="S25" s="121"/>
      <c r="T25" s="121"/>
      <c r="U25" s="121"/>
    </row>
    <row r="26" customFormat="false" ht="60" hidden="false" customHeight="true" outlineLevel="0" collapsed="false">
      <c r="A26" s="161"/>
      <c r="B26" s="178" t="s">
        <v>125</v>
      </c>
      <c r="C26" s="178"/>
      <c r="D26" s="178"/>
      <c r="E26" s="112"/>
      <c r="F26" s="179" t="n">
        <v>46061</v>
      </c>
      <c r="G26" s="179" t="n">
        <v>46061</v>
      </c>
      <c r="H26" s="179" t="n">
        <v>46061</v>
      </c>
      <c r="I26" s="179" t="n">
        <v>46061</v>
      </c>
      <c r="J26" s="179" t="n">
        <v>46061</v>
      </c>
      <c r="K26" s="179" t="n">
        <v>46061</v>
      </c>
      <c r="L26" s="179" t="n">
        <v>46061</v>
      </c>
      <c r="M26" s="179" t="n">
        <v>46061</v>
      </c>
      <c r="N26" s="121"/>
      <c r="O26" s="121"/>
      <c r="P26" s="121"/>
      <c r="Q26" s="121"/>
      <c r="R26" s="121"/>
      <c r="S26" s="121"/>
      <c r="T26" s="121"/>
      <c r="U26" s="121"/>
    </row>
    <row r="27" customFormat="false" ht="79.5" hidden="false" customHeight="true" outlineLevel="0" collapsed="false">
      <c r="A27" s="180"/>
      <c r="B27" s="181" t="s">
        <v>126</v>
      </c>
      <c r="C27" s="181"/>
      <c r="D27" s="181"/>
      <c r="E27" s="182"/>
      <c r="F27" s="183" t="s">
        <v>127</v>
      </c>
      <c r="G27" s="183" t="s">
        <v>128</v>
      </c>
      <c r="H27" s="183" t="s">
        <v>129</v>
      </c>
      <c r="I27" s="183" t="s">
        <v>130</v>
      </c>
      <c r="J27" s="183" t="s">
        <v>131</v>
      </c>
      <c r="K27" s="183" t="s">
        <v>132</v>
      </c>
      <c r="L27" s="183" t="s">
        <v>133</v>
      </c>
      <c r="M27" s="183" t="s">
        <v>191</v>
      </c>
      <c r="N27" s="121"/>
      <c r="O27" s="121"/>
      <c r="P27" s="121"/>
      <c r="Q27" s="121"/>
      <c r="R27" s="121"/>
      <c r="S27" s="121"/>
      <c r="T27" s="121"/>
      <c r="U27" s="121"/>
    </row>
    <row r="28" customFormat="false" ht="12" hidden="false" customHeight="true" outlineLevel="0" collapsed="false">
      <c r="A28" s="122"/>
      <c r="B28" s="121"/>
      <c r="C28" s="140"/>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ustomFormat="false" ht="13.5" hidden="false" customHeight="true" outlineLevel="0" collapsed="false">
      <c r="A29" s="121"/>
      <c r="B29" s="122"/>
      <c r="C29" s="121"/>
      <c r="D29" s="140"/>
      <c r="E29" s="121"/>
      <c r="F29" s="121"/>
      <c r="G29" s="121"/>
      <c r="H29" s="121"/>
      <c r="I29" s="121"/>
      <c r="J29" s="121"/>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4:D24"/>
    <mergeCell ref="B25:D25"/>
    <mergeCell ref="B26:D26"/>
    <mergeCell ref="B27:D27"/>
  </mergeCells>
  <dataValidations count="3">
    <dataValidation allowBlank="true" errorStyle="stop" operator="between" prompt=" - " showDropDown="false" showErrorMessage="true" showInputMessage="true" sqref="F10:M23" type="list">
      <formula1>"O"</formula1>
      <formula2>0</formula2>
    </dataValidation>
    <dataValidation allowBlank="true" errorStyle="stop" operator="between" prompt=" - " showDropDown="false" showErrorMessage="true" showInputMessage="true" sqref="F25:M25" type="list">
      <formula1>"P,F"</formula1>
      <formula2>0</formula2>
    </dataValidation>
    <dataValidation allowBlank="true" errorStyle="stop" operator="between" prompt=" - " showDropDown="false" showErrorMessage="true" showInputMessage="true" sqref="F24:M24"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218</v>
      </c>
      <c r="D2" s="125"/>
      <c r="E2" s="126"/>
      <c r="F2" s="127" t="s">
        <v>82</v>
      </c>
      <c r="G2" s="127"/>
      <c r="H2" s="127"/>
      <c r="I2" s="127"/>
      <c r="J2" s="127"/>
      <c r="K2" s="127"/>
      <c r="L2" s="128" t="s">
        <v>218</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110</v>
      </c>
      <c r="D4" s="55"/>
      <c r="E4" s="135"/>
      <c r="F4" s="136" t="s">
        <v>88</v>
      </c>
      <c r="G4" s="136"/>
      <c r="H4" s="136"/>
      <c r="I4" s="136"/>
      <c r="J4" s="136"/>
      <c r="K4" s="136"/>
      <c r="L4" s="57" t="n">
        <v>6</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193</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v>5</v>
      </c>
      <c r="B7" s="63"/>
      <c r="C7" s="64" t="n">
        <f aca="false">COUNTIF(F25:HQ25,"F")</f>
        <v>0</v>
      </c>
      <c r="D7" s="64"/>
      <c r="E7" s="64"/>
      <c r="F7" s="64" t="n">
        <v>0</v>
      </c>
      <c r="G7" s="64"/>
      <c r="H7" s="64"/>
      <c r="I7" s="64"/>
      <c r="J7" s="64"/>
      <c r="K7" s="64"/>
      <c r="L7" s="65" t="n">
        <v>1</v>
      </c>
      <c r="M7" s="65" t="n">
        <v>3</v>
      </c>
      <c r="N7" s="65" t="n">
        <v>1</v>
      </c>
      <c r="O7" s="66" t="n">
        <v>5</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21"/>
      <c r="L9" s="121"/>
      <c r="M9" s="146"/>
      <c r="N9" s="137"/>
      <c r="O9" s="121"/>
      <c r="P9" s="121"/>
      <c r="Q9" s="121"/>
      <c r="R9" s="121"/>
    </row>
    <row r="10" customFormat="false" ht="15.75" hidden="false" customHeight="true" outlineLevel="0" collapsed="false">
      <c r="A10" s="71" t="s">
        <v>103</v>
      </c>
      <c r="B10" s="147" t="s">
        <v>104</v>
      </c>
      <c r="C10" s="148"/>
      <c r="D10" s="80"/>
      <c r="E10" s="149"/>
      <c r="F10" s="150"/>
      <c r="G10" s="150"/>
      <c r="H10" s="150"/>
      <c r="I10" s="150"/>
      <c r="J10" s="150"/>
      <c r="K10" s="121"/>
      <c r="L10" s="121"/>
      <c r="M10" s="121"/>
      <c r="N10" s="121"/>
      <c r="O10" s="121"/>
      <c r="P10" s="121"/>
      <c r="Q10" s="121"/>
      <c r="R10" s="121"/>
    </row>
    <row r="11" customFormat="false" ht="15.75" hidden="false" customHeight="true" outlineLevel="0" collapsed="false">
      <c r="A11" s="151"/>
      <c r="B11" s="147"/>
      <c r="C11" s="148"/>
      <c r="D11" s="80" t="s">
        <v>219</v>
      </c>
      <c r="E11" s="152"/>
      <c r="F11" s="150" t="s">
        <v>106</v>
      </c>
      <c r="G11" s="150" t="s">
        <v>106</v>
      </c>
      <c r="H11" s="150" t="s">
        <v>106</v>
      </c>
      <c r="I11" s="150" t="s">
        <v>106</v>
      </c>
      <c r="J11" s="150" t="s">
        <v>106</v>
      </c>
      <c r="K11" s="121"/>
      <c r="L11" s="121"/>
      <c r="M11" s="121"/>
      <c r="N11" s="137"/>
      <c r="O11" s="121"/>
      <c r="P11" s="121"/>
      <c r="Q11" s="121"/>
      <c r="R11" s="121"/>
    </row>
    <row r="12" customFormat="false" ht="15.75" hidden="false" customHeight="true" outlineLevel="0" collapsed="false">
      <c r="A12" s="151"/>
      <c r="B12" s="147"/>
      <c r="C12" s="148"/>
      <c r="D12" s="80" t="s">
        <v>220</v>
      </c>
      <c r="E12" s="152"/>
      <c r="F12" s="150" t="s">
        <v>106</v>
      </c>
      <c r="G12" s="150"/>
      <c r="H12" s="150" t="s">
        <v>106</v>
      </c>
      <c r="I12" s="150" t="s">
        <v>106</v>
      </c>
      <c r="J12" s="150" t="s">
        <v>106</v>
      </c>
      <c r="K12" s="121"/>
      <c r="L12" s="121"/>
      <c r="M12" s="121"/>
      <c r="N12" s="121"/>
      <c r="O12" s="121"/>
      <c r="P12" s="121"/>
      <c r="Q12" s="121"/>
      <c r="R12" s="121"/>
    </row>
    <row r="13" customFormat="false" ht="15.75" hidden="false" customHeight="true" outlineLevel="0" collapsed="false">
      <c r="A13" s="151"/>
      <c r="B13" s="147"/>
      <c r="C13" s="148"/>
      <c r="D13" s="80" t="s">
        <v>221</v>
      </c>
      <c r="E13" s="152"/>
      <c r="F13" s="150" t="s">
        <v>106</v>
      </c>
      <c r="G13" s="150"/>
      <c r="H13" s="150"/>
      <c r="I13" s="150" t="s">
        <v>106</v>
      </c>
      <c r="J13" s="150" t="s">
        <v>106</v>
      </c>
      <c r="K13" s="121"/>
      <c r="L13" s="121"/>
      <c r="M13" s="121"/>
      <c r="N13" s="121"/>
      <c r="O13" s="121"/>
      <c r="P13" s="121"/>
      <c r="Q13" s="121"/>
      <c r="R13" s="121"/>
    </row>
    <row r="14" customFormat="false" ht="15.75" hidden="false" customHeight="true" outlineLevel="0" collapsed="false">
      <c r="A14" s="151"/>
      <c r="B14" s="147"/>
      <c r="C14" s="148"/>
      <c r="D14" s="80" t="s">
        <v>222</v>
      </c>
      <c r="E14" s="154"/>
      <c r="F14" s="150" t="s">
        <v>106</v>
      </c>
      <c r="G14" s="150"/>
      <c r="H14" s="150"/>
      <c r="I14" s="150"/>
      <c r="J14" s="150" t="s">
        <v>106</v>
      </c>
      <c r="K14" s="121"/>
      <c r="L14" s="121"/>
      <c r="M14" s="121"/>
      <c r="N14" s="121"/>
      <c r="O14" s="121"/>
      <c r="P14" s="121"/>
      <c r="Q14" s="121"/>
      <c r="R14" s="121"/>
    </row>
    <row r="15" customFormat="false" ht="15.75" hidden="false" customHeight="true" outlineLevel="0" collapsed="false">
      <c r="A15" s="161"/>
      <c r="B15" s="88"/>
      <c r="C15" s="158"/>
      <c r="D15" s="159" t="s">
        <v>223</v>
      </c>
      <c r="E15" s="185"/>
      <c r="F15" s="157"/>
      <c r="G15" s="157" t="s">
        <v>106</v>
      </c>
      <c r="H15" s="157"/>
      <c r="I15" s="157"/>
      <c r="J15" s="157"/>
      <c r="K15" s="121"/>
      <c r="L15" s="121"/>
      <c r="M15" s="121"/>
      <c r="N15" s="121"/>
      <c r="O15" s="121"/>
      <c r="P15" s="121"/>
      <c r="Q15" s="121"/>
      <c r="R15" s="121"/>
    </row>
    <row r="16" customFormat="false" ht="15.75" hidden="false" customHeight="true" outlineLevel="0" collapsed="false">
      <c r="A16" s="87" t="s">
        <v>111</v>
      </c>
      <c r="B16" s="88" t="s">
        <v>112</v>
      </c>
      <c r="C16" s="158"/>
      <c r="D16" s="159"/>
      <c r="E16" s="160"/>
      <c r="F16" s="157"/>
      <c r="G16" s="157"/>
      <c r="H16" s="157"/>
      <c r="I16" s="157"/>
      <c r="J16" s="157"/>
      <c r="K16" s="121"/>
      <c r="L16" s="121"/>
      <c r="M16" s="121"/>
      <c r="N16" s="121"/>
      <c r="O16" s="121"/>
      <c r="P16" s="121"/>
      <c r="Q16" s="121"/>
      <c r="R16" s="121"/>
    </row>
    <row r="17" customFormat="false" ht="15.75" hidden="false" customHeight="true" outlineLevel="0" collapsed="false">
      <c r="A17" s="161"/>
      <c r="B17" s="97"/>
      <c r="C17" s="162"/>
      <c r="D17" s="99" t="s">
        <v>224</v>
      </c>
      <c r="E17" s="163"/>
      <c r="F17" s="150" t="s">
        <v>106</v>
      </c>
      <c r="G17" s="150"/>
      <c r="H17" s="150"/>
      <c r="I17" s="150"/>
      <c r="J17" s="150"/>
      <c r="K17" s="121"/>
      <c r="L17" s="121"/>
      <c r="M17" s="121"/>
      <c r="N17" s="121"/>
      <c r="O17" s="121"/>
      <c r="P17" s="121"/>
      <c r="Q17" s="121"/>
      <c r="R17" s="121"/>
    </row>
    <row r="18" customFormat="false" ht="15.75" hidden="false" customHeight="true" outlineLevel="0" collapsed="false">
      <c r="A18" s="161"/>
      <c r="B18" s="97"/>
      <c r="C18" s="56"/>
      <c r="D18" s="99" t="s">
        <v>225</v>
      </c>
      <c r="E18" s="164"/>
      <c r="F18" s="150" t="s">
        <v>106</v>
      </c>
      <c r="G18" s="150" t="s">
        <v>106</v>
      </c>
      <c r="H18" s="150" t="s">
        <v>106</v>
      </c>
      <c r="I18" s="150" t="s">
        <v>106</v>
      </c>
      <c r="J18" s="150" t="s">
        <v>106</v>
      </c>
      <c r="K18" s="121"/>
      <c r="L18" s="121"/>
      <c r="M18" s="121"/>
      <c r="N18" s="121"/>
      <c r="O18" s="121"/>
      <c r="P18" s="121"/>
      <c r="Q18" s="121"/>
      <c r="R18" s="121"/>
    </row>
    <row r="19" customFormat="false" ht="15.75" hidden="false" customHeight="true" outlineLevel="0" collapsed="false">
      <c r="A19" s="161"/>
      <c r="B19" s="97"/>
      <c r="C19" s="56"/>
      <c r="D19" s="99" t="s">
        <v>226</v>
      </c>
      <c r="E19" s="164"/>
      <c r="F19" s="150" t="s">
        <v>106</v>
      </c>
      <c r="G19" s="150" t="s">
        <v>106</v>
      </c>
      <c r="H19" s="150" t="s">
        <v>106</v>
      </c>
      <c r="I19" s="150" t="s">
        <v>106</v>
      </c>
      <c r="J19" s="150" t="s">
        <v>106</v>
      </c>
      <c r="K19" s="121"/>
      <c r="L19" s="121"/>
      <c r="M19" s="121"/>
      <c r="N19" s="121"/>
      <c r="O19" s="121"/>
      <c r="P19" s="121"/>
      <c r="Q19" s="121"/>
      <c r="R19" s="121"/>
    </row>
    <row r="20" customFormat="false" ht="15.75" hidden="false" customHeight="true" outlineLevel="0" collapsed="false">
      <c r="A20" s="161"/>
      <c r="B20" s="97" t="s">
        <v>116</v>
      </c>
      <c r="C20" s="56"/>
      <c r="D20" s="99"/>
      <c r="E20" s="164"/>
      <c r="F20" s="150"/>
      <c r="G20" s="150"/>
      <c r="H20" s="150"/>
      <c r="I20" s="150"/>
      <c r="J20" s="150"/>
      <c r="K20" s="121"/>
      <c r="L20" s="121"/>
      <c r="M20" s="121"/>
      <c r="N20" s="121"/>
      <c r="O20" s="121"/>
      <c r="P20" s="121"/>
      <c r="Q20" s="121"/>
      <c r="R20" s="121"/>
    </row>
    <row r="21" customFormat="false" ht="15.75" hidden="false" customHeight="true" outlineLevel="0" collapsed="false">
      <c r="A21" s="161"/>
      <c r="B21" s="97"/>
      <c r="C21" s="56"/>
      <c r="D21" s="99" t="s">
        <v>227</v>
      </c>
      <c r="E21" s="164"/>
      <c r="F21" s="150" t="s">
        <v>106</v>
      </c>
      <c r="G21" s="150"/>
      <c r="H21" s="150"/>
      <c r="I21" s="150"/>
      <c r="J21" s="150" t="s">
        <v>106</v>
      </c>
      <c r="K21" s="121"/>
      <c r="L21" s="121"/>
      <c r="M21" s="121"/>
      <c r="N21" s="121"/>
      <c r="O21" s="121"/>
      <c r="P21" s="121"/>
      <c r="Q21" s="121"/>
      <c r="R21" s="121"/>
    </row>
    <row r="22" customFormat="false" ht="15.75" hidden="false" customHeight="true" outlineLevel="0" collapsed="false">
      <c r="A22" s="161"/>
      <c r="B22" s="97"/>
      <c r="C22" s="56"/>
      <c r="D22" s="99" t="s">
        <v>228</v>
      </c>
      <c r="E22" s="164"/>
      <c r="F22" s="150"/>
      <c r="G22" s="150" t="s">
        <v>106</v>
      </c>
      <c r="H22" s="150" t="s">
        <v>106</v>
      </c>
      <c r="I22" s="150"/>
      <c r="J22" s="150"/>
      <c r="K22" s="121"/>
      <c r="L22" s="121"/>
      <c r="M22" s="121"/>
      <c r="N22" s="121"/>
      <c r="O22" s="121"/>
      <c r="P22" s="121"/>
      <c r="Q22" s="121"/>
      <c r="R22" s="121"/>
    </row>
    <row r="23" customFormat="false" ht="15.75" hidden="false" customHeight="true" outlineLevel="0" collapsed="false">
      <c r="A23" s="161"/>
      <c r="B23" s="97"/>
      <c r="C23" s="56"/>
      <c r="D23" s="99" t="s">
        <v>229</v>
      </c>
      <c r="E23" s="164"/>
      <c r="F23" s="150"/>
      <c r="G23" s="150"/>
      <c r="H23" s="150"/>
      <c r="I23" s="150" t="s">
        <v>106</v>
      </c>
      <c r="J23" s="150"/>
      <c r="K23" s="121"/>
      <c r="L23" s="121"/>
      <c r="M23" s="121"/>
      <c r="N23" s="121"/>
      <c r="O23" s="121"/>
      <c r="P23" s="121"/>
      <c r="Q23" s="121"/>
      <c r="R23" s="121"/>
    </row>
    <row r="24" customFormat="false" ht="15.75" hidden="false" customHeight="true" outlineLevel="0" collapsed="false">
      <c r="A24" s="87" t="s">
        <v>120</v>
      </c>
      <c r="B24" s="173" t="s">
        <v>121</v>
      </c>
      <c r="C24" s="173"/>
      <c r="D24" s="173"/>
      <c r="E24" s="173"/>
      <c r="F24" s="174" t="s">
        <v>122</v>
      </c>
      <c r="G24" s="174" t="s">
        <v>66</v>
      </c>
      <c r="H24" s="174" t="s">
        <v>66</v>
      </c>
      <c r="I24" s="174" t="s">
        <v>66</v>
      </c>
      <c r="J24" s="174" t="s">
        <v>150</v>
      </c>
      <c r="K24" s="121"/>
      <c r="L24" s="121"/>
      <c r="M24" s="121"/>
      <c r="N24" s="121"/>
      <c r="O24" s="121"/>
      <c r="P24" s="121"/>
      <c r="Q24" s="121"/>
      <c r="R24" s="121"/>
    </row>
    <row r="25" customFormat="false" ht="15.75" hidden="false" customHeight="true" outlineLevel="0" collapsed="false">
      <c r="A25" s="161"/>
      <c r="B25" s="175" t="s">
        <v>123</v>
      </c>
      <c r="C25" s="175"/>
      <c r="D25" s="175"/>
      <c r="E25" s="176"/>
      <c r="F25" s="177" t="s">
        <v>124</v>
      </c>
      <c r="G25" s="177" t="s">
        <v>124</v>
      </c>
      <c r="H25" s="177" t="s">
        <v>124</v>
      </c>
      <c r="I25" s="177" t="s">
        <v>124</v>
      </c>
      <c r="J25" s="177" t="s">
        <v>124</v>
      </c>
      <c r="K25" s="121"/>
      <c r="L25" s="121"/>
      <c r="M25" s="121"/>
      <c r="N25" s="121"/>
      <c r="O25" s="121"/>
      <c r="P25" s="121"/>
      <c r="Q25" s="121"/>
      <c r="R25" s="121"/>
    </row>
    <row r="26" customFormat="false" ht="60" hidden="false" customHeight="true" outlineLevel="0" collapsed="false">
      <c r="A26" s="161"/>
      <c r="B26" s="178" t="s">
        <v>125</v>
      </c>
      <c r="C26" s="178"/>
      <c r="D26" s="178"/>
      <c r="E26" s="112"/>
      <c r="F26" s="179" t="n">
        <v>46117</v>
      </c>
      <c r="G26" s="179" t="n">
        <v>46117</v>
      </c>
      <c r="H26" s="179" t="n">
        <v>46117</v>
      </c>
      <c r="I26" s="179" t="n">
        <v>46117</v>
      </c>
      <c r="J26" s="179" t="n">
        <v>46117</v>
      </c>
      <c r="K26" s="121"/>
      <c r="L26" s="121"/>
      <c r="M26" s="121"/>
      <c r="N26" s="121"/>
      <c r="O26" s="121"/>
      <c r="P26" s="121"/>
      <c r="Q26" s="121"/>
      <c r="R26" s="121"/>
    </row>
    <row r="27" customFormat="false" ht="79.5" hidden="false" customHeight="true" outlineLevel="0" collapsed="false">
      <c r="A27" s="180"/>
      <c r="B27" s="181" t="s">
        <v>126</v>
      </c>
      <c r="C27" s="181"/>
      <c r="D27" s="181"/>
      <c r="E27" s="182"/>
      <c r="F27" s="183" t="s">
        <v>127</v>
      </c>
      <c r="G27" s="183" t="s">
        <v>128</v>
      </c>
      <c r="H27" s="183" t="s">
        <v>129</v>
      </c>
      <c r="I27" s="183" t="s">
        <v>130</v>
      </c>
      <c r="J27" s="183" t="s">
        <v>131</v>
      </c>
      <c r="K27" s="121"/>
      <c r="L27" s="121"/>
      <c r="M27" s="121"/>
      <c r="N27" s="121"/>
      <c r="O27" s="121"/>
      <c r="P27" s="121"/>
      <c r="Q27" s="121"/>
      <c r="R27" s="121"/>
    </row>
    <row r="28" customFormat="false" ht="12" hidden="false" customHeight="true" outlineLevel="0" collapsed="false">
      <c r="A28" s="122"/>
      <c r="B28" s="121"/>
      <c r="C28" s="140"/>
      <c r="D28" s="121"/>
      <c r="E28" s="121"/>
      <c r="F28" s="121"/>
      <c r="G28" s="121"/>
      <c r="H28" s="121"/>
      <c r="I28" s="121"/>
      <c r="J28" s="121"/>
      <c r="K28" s="121"/>
      <c r="L28" s="121"/>
      <c r="M28" s="121"/>
      <c r="N28" s="121"/>
      <c r="O28" s="121"/>
      <c r="P28" s="121"/>
      <c r="Q28" s="121"/>
      <c r="R28" s="121"/>
      <c r="S28" s="121"/>
      <c r="T28" s="121"/>
      <c r="U28" s="121"/>
      <c r="V28" s="121"/>
      <c r="W28" s="121"/>
      <c r="X28" s="121"/>
    </row>
    <row r="29" customFormat="false" ht="13.5" hidden="false" customHeight="true" outlineLevel="0" collapsed="false">
      <c r="A29" s="121"/>
      <c r="B29" s="122"/>
      <c r="C29" s="121"/>
      <c r="D29" s="140"/>
      <c r="E29" s="121"/>
      <c r="F29" s="121"/>
      <c r="G29" s="121"/>
      <c r="H29" s="121"/>
      <c r="I29" s="121"/>
      <c r="J29" s="121"/>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4:D24"/>
    <mergeCell ref="B25:D25"/>
    <mergeCell ref="B26:D26"/>
    <mergeCell ref="B27:D27"/>
  </mergeCells>
  <dataValidations count="3">
    <dataValidation allowBlank="true" errorStyle="stop" operator="between" prompt=" - " showDropDown="false" showErrorMessage="true" showInputMessage="true" sqref="F10:J23" type="list">
      <formula1>"O"</formula1>
      <formula2>0</formula2>
    </dataValidation>
    <dataValidation allowBlank="true" errorStyle="stop" operator="between" prompt=" - " showDropDown="false" showErrorMessage="true" showInputMessage="true" sqref="F25:J25" type="list">
      <formula1>"P,F"</formula1>
      <formula2>0</formula2>
    </dataValidation>
    <dataValidation allowBlank="true" errorStyle="stop" operator="between" prompt=" - " showDropDown="false" showErrorMessage="true" showInputMessage="true" sqref="F24:J24"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230</v>
      </c>
      <c r="D2" s="125"/>
      <c r="E2" s="126"/>
      <c r="F2" s="127" t="s">
        <v>82</v>
      </c>
      <c r="G2" s="127"/>
      <c r="H2" s="127"/>
      <c r="I2" s="127"/>
      <c r="J2" s="127"/>
      <c r="K2" s="127"/>
      <c r="L2" s="128" t="s">
        <v>230</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210</v>
      </c>
      <c r="D4" s="55"/>
      <c r="E4" s="135"/>
      <c r="F4" s="136" t="s">
        <v>88</v>
      </c>
      <c r="G4" s="136"/>
      <c r="H4" s="136"/>
      <c r="I4" s="136"/>
      <c r="J4" s="136"/>
      <c r="K4" s="136"/>
      <c r="L4" s="57" t="n">
        <v>13</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231</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v>8</v>
      </c>
      <c r="B7" s="63"/>
      <c r="C7" s="64" t="n">
        <f aca="false">COUNTIF(F27:HQ27,"F")</f>
        <v>0</v>
      </c>
      <c r="D7" s="64"/>
      <c r="E7" s="64"/>
      <c r="F7" s="64" t="n">
        <v>0</v>
      </c>
      <c r="G7" s="64"/>
      <c r="H7" s="64"/>
      <c r="I7" s="64"/>
      <c r="J7" s="64"/>
      <c r="K7" s="64"/>
      <c r="L7" s="65" t="n">
        <v>2</v>
      </c>
      <c r="M7" s="65" t="n">
        <v>5</v>
      </c>
      <c r="N7" s="65" t="n">
        <v>1</v>
      </c>
      <c r="O7" s="66" t="n">
        <v>8</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45" t="s">
        <v>102</v>
      </c>
      <c r="M9" s="145" t="s">
        <v>179</v>
      </c>
      <c r="N9" s="137"/>
      <c r="O9" s="121"/>
      <c r="P9" s="121"/>
      <c r="Q9" s="121"/>
      <c r="R9" s="121"/>
    </row>
    <row r="10" customFormat="false" ht="15.75" hidden="false" customHeight="true" outlineLevel="0" collapsed="false">
      <c r="A10" s="71" t="s">
        <v>103</v>
      </c>
      <c r="B10" s="147" t="s">
        <v>104</v>
      </c>
      <c r="C10" s="148"/>
      <c r="D10" s="80"/>
      <c r="E10" s="149"/>
      <c r="F10" s="150"/>
      <c r="G10" s="150"/>
      <c r="H10" s="150"/>
      <c r="I10" s="150"/>
      <c r="J10" s="150"/>
      <c r="K10" s="150"/>
      <c r="L10" s="150"/>
      <c r="M10" s="150"/>
      <c r="N10" s="121"/>
      <c r="O10" s="121"/>
      <c r="P10" s="121"/>
      <c r="Q10" s="121"/>
      <c r="R10" s="121"/>
    </row>
    <row r="11" customFormat="false" ht="15.75" hidden="false" customHeight="true" outlineLevel="0" collapsed="false">
      <c r="A11" s="151"/>
      <c r="B11" s="147"/>
      <c r="C11" s="148"/>
      <c r="D11" s="80" t="s">
        <v>219</v>
      </c>
      <c r="E11" s="152"/>
      <c r="F11" s="150" t="s">
        <v>106</v>
      </c>
      <c r="G11" s="150" t="s">
        <v>106</v>
      </c>
      <c r="H11" s="150" t="s">
        <v>106</v>
      </c>
      <c r="I11" s="150" t="s">
        <v>106</v>
      </c>
      <c r="J11" s="150" t="s">
        <v>106</v>
      </c>
      <c r="K11" s="150" t="s">
        <v>106</v>
      </c>
      <c r="L11" s="150" t="s">
        <v>106</v>
      </c>
      <c r="M11" s="150" t="s">
        <v>106</v>
      </c>
      <c r="N11" s="137"/>
      <c r="O11" s="121"/>
      <c r="P11" s="121"/>
      <c r="Q11" s="121"/>
      <c r="R11" s="121"/>
    </row>
    <row r="12" customFormat="false" ht="15.75" hidden="false" customHeight="true" outlineLevel="0" collapsed="false">
      <c r="A12" s="151"/>
      <c r="B12" s="147"/>
      <c r="C12" s="148"/>
      <c r="D12" s="80" t="s">
        <v>232</v>
      </c>
      <c r="E12" s="152"/>
      <c r="F12" s="150" t="s">
        <v>106</v>
      </c>
      <c r="G12" s="150"/>
      <c r="H12" s="150"/>
      <c r="I12" s="150"/>
      <c r="J12" s="150"/>
      <c r="K12" s="150" t="s">
        <v>106</v>
      </c>
      <c r="L12" s="150" t="s">
        <v>106</v>
      </c>
      <c r="M12" s="150"/>
      <c r="N12" s="121"/>
      <c r="O12" s="121"/>
      <c r="P12" s="121"/>
      <c r="Q12" s="121"/>
      <c r="R12" s="121"/>
    </row>
    <row r="13" customFormat="false" ht="15.75" hidden="false" customHeight="true" outlineLevel="0" collapsed="false">
      <c r="A13" s="151"/>
      <c r="B13" s="147"/>
      <c r="C13" s="148"/>
      <c r="D13" s="80" t="s">
        <v>233</v>
      </c>
      <c r="E13" s="152"/>
      <c r="F13" s="150"/>
      <c r="G13" s="150" t="s">
        <v>106</v>
      </c>
      <c r="H13" s="150"/>
      <c r="I13" s="150"/>
      <c r="J13" s="150"/>
      <c r="K13" s="150"/>
      <c r="L13" s="150"/>
      <c r="M13" s="150"/>
      <c r="N13" s="121"/>
      <c r="O13" s="121"/>
      <c r="P13" s="121"/>
      <c r="Q13" s="121"/>
      <c r="R13" s="121"/>
    </row>
    <row r="14" customFormat="false" ht="15.75" hidden="false" customHeight="true" outlineLevel="0" collapsed="false">
      <c r="A14" s="151"/>
      <c r="B14" s="147"/>
      <c r="C14" s="148"/>
      <c r="D14" s="80" t="s">
        <v>234</v>
      </c>
      <c r="E14" s="154"/>
      <c r="F14" s="150"/>
      <c r="G14" s="150"/>
      <c r="H14" s="150" t="s">
        <v>106</v>
      </c>
      <c r="I14" s="150"/>
      <c r="J14" s="150"/>
      <c r="K14" s="150"/>
      <c r="L14" s="150"/>
      <c r="M14" s="150"/>
      <c r="N14" s="121"/>
      <c r="O14" s="121"/>
      <c r="P14" s="121"/>
      <c r="Q14" s="121"/>
      <c r="R14" s="121"/>
    </row>
    <row r="15" customFormat="false" ht="15.75" hidden="false" customHeight="true" outlineLevel="0" collapsed="false">
      <c r="A15" s="161"/>
      <c r="B15" s="88"/>
      <c r="C15" s="158"/>
      <c r="D15" s="159" t="s">
        <v>235</v>
      </c>
      <c r="E15" s="185"/>
      <c r="F15" s="157"/>
      <c r="G15" s="157"/>
      <c r="H15" s="157"/>
      <c r="I15" s="157" t="s">
        <v>106</v>
      </c>
      <c r="J15" s="157"/>
      <c r="K15" s="157"/>
      <c r="L15" s="157"/>
      <c r="M15" s="157"/>
      <c r="N15" s="121"/>
      <c r="O15" s="121"/>
      <c r="P15" s="121"/>
      <c r="Q15" s="121"/>
      <c r="R15" s="121"/>
    </row>
    <row r="16" customFormat="false" ht="15.75" hidden="false" customHeight="true" outlineLevel="0" collapsed="false">
      <c r="A16" s="161"/>
      <c r="B16" s="88"/>
      <c r="C16" s="158"/>
      <c r="D16" s="159" t="s">
        <v>236</v>
      </c>
      <c r="E16" s="185"/>
      <c r="F16" s="157"/>
      <c r="G16" s="157"/>
      <c r="H16" s="157"/>
      <c r="I16" s="157"/>
      <c r="J16" s="157" t="s">
        <v>106</v>
      </c>
      <c r="K16" s="157"/>
      <c r="L16" s="157"/>
      <c r="M16" s="157"/>
      <c r="N16" s="121"/>
      <c r="O16" s="121"/>
      <c r="P16" s="121"/>
      <c r="Q16" s="121"/>
      <c r="R16" s="121"/>
    </row>
    <row r="17" customFormat="false" ht="15.75" hidden="false" customHeight="true" outlineLevel="0" collapsed="false">
      <c r="A17" s="161"/>
      <c r="B17" s="88"/>
      <c r="C17" s="158"/>
      <c r="D17" s="159" t="s">
        <v>237</v>
      </c>
      <c r="E17" s="185"/>
      <c r="F17" s="157"/>
      <c r="G17" s="157"/>
      <c r="H17" s="157"/>
      <c r="I17" s="157"/>
      <c r="J17" s="157"/>
      <c r="K17" s="157" t="s">
        <v>106</v>
      </c>
      <c r="L17" s="157"/>
      <c r="M17" s="157"/>
      <c r="N17" s="121"/>
      <c r="O17" s="121"/>
      <c r="P17" s="121"/>
      <c r="Q17" s="121"/>
      <c r="R17" s="121"/>
    </row>
    <row r="18" customFormat="false" ht="15.75" hidden="false" customHeight="true" outlineLevel="0" collapsed="false">
      <c r="A18" s="87" t="s">
        <v>111</v>
      </c>
      <c r="B18" s="88" t="s">
        <v>112</v>
      </c>
      <c r="C18" s="158"/>
      <c r="D18" s="159"/>
      <c r="E18" s="160"/>
      <c r="F18" s="157"/>
      <c r="G18" s="157"/>
      <c r="H18" s="157"/>
      <c r="I18" s="157"/>
      <c r="J18" s="157"/>
      <c r="K18" s="157"/>
      <c r="L18" s="157"/>
      <c r="M18" s="157"/>
      <c r="N18" s="121"/>
      <c r="O18" s="121"/>
      <c r="P18" s="121"/>
      <c r="Q18" s="121"/>
      <c r="R18" s="121"/>
    </row>
    <row r="19" customFormat="false" ht="15.75" hidden="false" customHeight="true" outlineLevel="0" collapsed="false">
      <c r="A19" s="161"/>
      <c r="B19" s="97"/>
      <c r="C19" s="162"/>
      <c r="D19" s="99" t="s">
        <v>238</v>
      </c>
      <c r="E19" s="163"/>
      <c r="F19" s="150" t="s">
        <v>106</v>
      </c>
      <c r="G19" s="150" t="s">
        <v>106</v>
      </c>
      <c r="H19" s="150" t="s">
        <v>106</v>
      </c>
      <c r="I19" s="150" t="s">
        <v>106</v>
      </c>
      <c r="J19" s="150" t="s">
        <v>106</v>
      </c>
      <c r="K19" s="150" t="s">
        <v>106</v>
      </c>
      <c r="L19" s="150" t="s">
        <v>106</v>
      </c>
      <c r="M19" s="150"/>
      <c r="N19" s="121"/>
      <c r="O19" s="121"/>
      <c r="P19" s="121"/>
      <c r="Q19" s="121"/>
      <c r="R19" s="121"/>
    </row>
    <row r="20" customFormat="false" ht="15.75" hidden="false" customHeight="true" outlineLevel="0" collapsed="false">
      <c r="A20" s="161"/>
      <c r="B20" s="97"/>
      <c r="C20" s="56"/>
      <c r="D20" s="99" t="s">
        <v>239</v>
      </c>
      <c r="E20" s="164"/>
      <c r="F20" s="150" t="s">
        <v>106</v>
      </c>
      <c r="G20" s="150" t="s">
        <v>106</v>
      </c>
      <c r="H20" s="150" t="s">
        <v>106</v>
      </c>
      <c r="I20" s="150" t="s">
        <v>106</v>
      </c>
      <c r="J20" s="150" t="s">
        <v>106</v>
      </c>
      <c r="K20" s="150" t="s">
        <v>106</v>
      </c>
      <c r="L20" s="150"/>
      <c r="M20" s="150" t="s">
        <v>106</v>
      </c>
      <c r="N20" s="121"/>
      <c r="O20" s="121"/>
      <c r="P20" s="121"/>
      <c r="Q20" s="121"/>
      <c r="R20" s="121"/>
    </row>
    <row r="21" customFormat="false" ht="15.75" hidden="false" customHeight="true" outlineLevel="0" collapsed="false">
      <c r="A21" s="161"/>
      <c r="B21" s="97"/>
      <c r="C21" s="56"/>
      <c r="D21" s="99" t="s">
        <v>240</v>
      </c>
      <c r="E21" s="164"/>
      <c r="F21" s="150" t="s">
        <v>106</v>
      </c>
      <c r="G21" s="150"/>
      <c r="H21" s="150"/>
      <c r="I21" s="150"/>
      <c r="J21" s="150"/>
      <c r="K21" s="150" t="s">
        <v>106</v>
      </c>
      <c r="L21" s="150" t="s">
        <v>106</v>
      </c>
      <c r="M21" s="150"/>
      <c r="N21" s="121"/>
      <c r="O21" s="121"/>
      <c r="P21" s="121"/>
      <c r="Q21" s="121"/>
      <c r="R21" s="121"/>
    </row>
    <row r="22" customFormat="false" ht="15.75" hidden="false" customHeight="true" outlineLevel="0" collapsed="false">
      <c r="A22" s="161"/>
      <c r="B22" s="97" t="s">
        <v>116</v>
      </c>
      <c r="C22" s="56"/>
      <c r="D22" s="99"/>
      <c r="E22" s="164"/>
      <c r="F22" s="150"/>
      <c r="G22" s="150"/>
      <c r="H22" s="150"/>
      <c r="I22" s="150"/>
      <c r="J22" s="150"/>
      <c r="K22" s="150"/>
      <c r="L22" s="150"/>
      <c r="M22" s="150"/>
      <c r="N22" s="121"/>
      <c r="O22" s="121"/>
      <c r="P22" s="121"/>
      <c r="Q22" s="121"/>
      <c r="R22" s="121"/>
    </row>
    <row r="23" customFormat="false" ht="15.75" hidden="false" customHeight="true" outlineLevel="0" collapsed="false">
      <c r="A23" s="161"/>
      <c r="B23" s="97"/>
      <c r="C23" s="56"/>
      <c r="D23" s="99" t="s">
        <v>241</v>
      </c>
      <c r="E23" s="164"/>
      <c r="F23" s="150" t="s">
        <v>106</v>
      </c>
      <c r="G23" s="150"/>
      <c r="H23" s="150"/>
      <c r="I23" s="150"/>
      <c r="J23" s="150"/>
      <c r="K23" s="150"/>
      <c r="L23" s="150" t="s">
        <v>106</v>
      </c>
      <c r="M23" s="150"/>
      <c r="N23" s="121"/>
      <c r="O23" s="121"/>
      <c r="P23" s="121"/>
      <c r="Q23" s="121"/>
      <c r="R23" s="121"/>
    </row>
    <row r="24" customFormat="false" ht="15.75" hidden="false" customHeight="true" outlineLevel="0" collapsed="false">
      <c r="A24" s="161"/>
      <c r="B24" s="97"/>
      <c r="C24" s="56"/>
      <c r="D24" s="99" t="s">
        <v>242</v>
      </c>
      <c r="E24" s="164"/>
      <c r="F24" s="150"/>
      <c r="G24" s="150" t="s">
        <v>106</v>
      </c>
      <c r="H24" s="150" t="s">
        <v>106</v>
      </c>
      <c r="I24" s="150" t="s">
        <v>106</v>
      </c>
      <c r="J24" s="150" t="s">
        <v>106</v>
      </c>
      <c r="K24" s="150"/>
      <c r="L24" s="150"/>
      <c r="M24" s="150" t="s">
        <v>106</v>
      </c>
      <c r="N24" s="121"/>
      <c r="O24" s="121"/>
      <c r="P24" s="121"/>
      <c r="Q24" s="121"/>
      <c r="R24" s="121"/>
    </row>
    <row r="25" customFormat="false" ht="15.75" hidden="false" customHeight="true" outlineLevel="0" collapsed="false">
      <c r="A25" s="161"/>
      <c r="B25" s="97"/>
      <c r="C25" s="56"/>
      <c r="D25" s="99" t="s">
        <v>243</v>
      </c>
      <c r="E25" s="164"/>
      <c r="F25" s="150"/>
      <c r="G25" s="150"/>
      <c r="H25" s="150"/>
      <c r="I25" s="150"/>
      <c r="J25" s="150"/>
      <c r="K25" s="150" t="s">
        <v>106</v>
      </c>
      <c r="L25" s="150"/>
      <c r="M25" s="150"/>
      <c r="N25" s="121"/>
      <c r="O25" s="121"/>
      <c r="P25" s="121"/>
      <c r="Q25" s="121"/>
      <c r="R25" s="121"/>
    </row>
    <row r="26" customFormat="false" ht="15.75" hidden="false" customHeight="true" outlineLevel="0" collapsed="false">
      <c r="A26" s="87" t="s">
        <v>120</v>
      </c>
      <c r="B26" s="173" t="s">
        <v>121</v>
      </c>
      <c r="C26" s="173"/>
      <c r="D26" s="173"/>
      <c r="E26" s="173"/>
      <c r="F26" s="174" t="s">
        <v>122</v>
      </c>
      <c r="G26" s="174" t="s">
        <v>66</v>
      </c>
      <c r="H26" s="174" t="s">
        <v>66</v>
      </c>
      <c r="I26" s="174" t="s">
        <v>66</v>
      </c>
      <c r="J26" s="174" t="s">
        <v>66</v>
      </c>
      <c r="K26" s="174" t="s">
        <v>150</v>
      </c>
      <c r="L26" s="174" t="s">
        <v>122</v>
      </c>
      <c r="M26" s="174" t="s">
        <v>66</v>
      </c>
      <c r="N26" s="121"/>
      <c r="O26" s="121"/>
      <c r="P26" s="121"/>
      <c r="Q26" s="121"/>
      <c r="R26" s="121"/>
    </row>
    <row r="27" customFormat="false" ht="15.75" hidden="false" customHeight="true" outlineLevel="0" collapsed="false">
      <c r="A27" s="161"/>
      <c r="B27" s="175" t="s">
        <v>123</v>
      </c>
      <c r="C27" s="175"/>
      <c r="D27" s="175"/>
      <c r="E27" s="176"/>
      <c r="F27" s="177" t="s">
        <v>124</v>
      </c>
      <c r="G27" s="177" t="s">
        <v>124</v>
      </c>
      <c r="H27" s="177" t="s">
        <v>124</v>
      </c>
      <c r="I27" s="177" t="s">
        <v>124</v>
      </c>
      <c r="J27" s="177" t="s">
        <v>124</v>
      </c>
      <c r="K27" s="177" t="s">
        <v>124</v>
      </c>
      <c r="L27" s="177" t="s">
        <v>124</v>
      </c>
      <c r="M27" s="177" t="s">
        <v>124</v>
      </c>
      <c r="N27" s="121"/>
      <c r="O27" s="121"/>
      <c r="P27" s="121"/>
      <c r="Q27" s="121"/>
      <c r="R27" s="121"/>
    </row>
    <row r="28" customFormat="false" ht="60" hidden="false" customHeight="true" outlineLevel="0" collapsed="false">
      <c r="A28" s="161"/>
      <c r="B28" s="178" t="s">
        <v>125</v>
      </c>
      <c r="C28" s="178"/>
      <c r="D28" s="178"/>
      <c r="E28" s="112"/>
      <c r="F28" s="179" t="n">
        <v>46119</v>
      </c>
      <c r="G28" s="179" t="n">
        <v>46119</v>
      </c>
      <c r="H28" s="179" t="n">
        <v>46119</v>
      </c>
      <c r="I28" s="179" t="n">
        <v>46119</v>
      </c>
      <c r="J28" s="179" t="n">
        <v>46119</v>
      </c>
      <c r="K28" s="179" t="n">
        <v>46119</v>
      </c>
      <c r="L28" s="179" t="n">
        <v>46119</v>
      </c>
      <c r="M28" s="179" t="n">
        <v>46119</v>
      </c>
      <c r="N28" s="121"/>
      <c r="O28" s="121"/>
      <c r="P28" s="121"/>
      <c r="Q28" s="121"/>
      <c r="R28" s="121"/>
    </row>
    <row r="29" customFormat="false" ht="79.5" hidden="false" customHeight="true" outlineLevel="0" collapsed="false">
      <c r="A29" s="180"/>
      <c r="B29" s="181" t="s">
        <v>126</v>
      </c>
      <c r="C29" s="181"/>
      <c r="D29" s="181"/>
      <c r="E29" s="182"/>
      <c r="F29" s="183" t="s">
        <v>127</v>
      </c>
      <c r="G29" s="183" t="s">
        <v>128</v>
      </c>
      <c r="H29" s="183" t="s">
        <v>129</v>
      </c>
      <c r="I29" s="183" t="s">
        <v>130</v>
      </c>
      <c r="J29" s="183" t="s">
        <v>131</v>
      </c>
      <c r="K29" s="183" t="s">
        <v>132</v>
      </c>
      <c r="L29" s="183" t="s">
        <v>133</v>
      </c>
      <c r="M29" s="183" t="s">
        <v>191</v>
      </c>
      <c r="N29" s="121"/>
      <c r="O29" s="121"/>
      <c r="P29" s="121"/>
      <c r="Q29" s="121"/>
      <c r="R29" s="121"/>
    </row>
    <row r="30" customFormat="false" ht="12" hidden="false" customHeight="true" outlineLevel="0" collapsed="false">
      <c r="A30" s="122"/>
      <c r="B30" s="121"/>
      <c r="C30" s="140"/>
      <c r="D30" s="121"/>
      <c r="E30" s="121"/>
      <c r="F30" s="121"/>
      <c r="G30" s="121"/>
      <c r="H30" s="121"/>
      <c r="I30" s="121"/>
      <c r="J30" s="121"/>
      <c r="K30" s="121"/>
      <c r="L30" s="121"/>
      <c r="M30" s="121"/>
      <c r="N30" s="121"/>
      <c r="O30" s="121"/>
      <c r="P30" s="121"/>
      <c r="Q30" s="121"/>
      <c r="R30" s="121"/>
      <c r="S30" s="121"/>
      <c r="T30" s="121"/>
      <c r="U30" s="121"/>
      <c r="V30" s="121"/>
      <c r="W30" s="121"/>
      <c r="X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N987" s="121"/>
      <c r="O987" s="121"/>
      <c r="P987" s="121"/>
      <c r="Q987" s="121"/>
      <c r="R987" s="121"/>
      <c r="S987" s="121"/>
      <c r="T987" s="121"/>
      <c r="U987" s="121"/>
      <c r="V987" s="121"/>
      <c r="W987" s="121"/>
      <c r="X987" s="121"/>
      <c r="Y987" s="121"/>
      <c r="Z987"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allowBlank="true" errorStyle="stop" operator="between" prompt=" - " showDropDown="false" showErrorMessage="true" showInputMessage="true" sqref="F10:M25" type="list">
      <formula1>"O"</formula1>
      <formula2>0</formula2>
    </dataValidation>
    <dataValidation allowBlank="true" errorStyle="stop" operator="between" prompt=" - " showDropDown="false" showErrorMessage="true" showInputMessage="true" sqref="F27:M27" type="list">
      <formula1>"P,F"</formula1>
      <formula2>0</formula2>
    </dataValidation>
    <dataValidation allowBlank="true" errorStyle="stop" operator="between" prompt=" - " showDropDown="false" showErrorMessage="true" showInputMessage="true" sqref="F26:M26"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244</v>
      </c>
      <c r="D2" s="125"/>
      <c r="E2" s="126"/>
      <c r="F2" s="127" t="s">
        <v>82</v>
      </c>
      <c r="G2" s="127"/>
      <c r="H2" s="127"/>
      <c r="I2" s="127"/>
      <c r="J2" s="127"/>
      <c r="K2" s="127"/>
      <c r="L2" s="128" t="s">
        <v>244</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190</v>
      </c>
      <c r="D4" s="55"/>
      <c r="E4" s="135"/>
      <c r="F4" s="136" t="s">
        <v>88</v>
      </c>
      <c r="G4" s="136"/>
      <c r="H4" s="136"/>
      <c r="I4" s="136"/>
      <c r="J4" s="136"/>
      <c r="K4" s="136"/>
      <c r="L4" s="57" t="n">
        <v>13</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245</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COUNTIF(F26:HQ31,"P")</f>
        <v>6</v>
      </c>
      <c r="B7" s="63"/>
      <c r="C7" s="64" t="n">
        <f aca="false">COUNTIF(F26:HQ26,"F")</f>
        <v>0</v>
      </c>
      <c r="D7" s="64"/>
      <c r="E7" s="64"/>
      <c r="F7" s="64" t="n">
        <v>0</v>
      </c>
      <c r="G7" s="64"/>
      <c r="H7" s="64"/>
      <c r="I7" s="64"/>
      <c r="J7" s="64"/>
      <c r="K7" s="64"/>
      <c r="L7" s="65" t="n">
        <f aca="false">COUNTIF(E25:HQ30,"N")</f>
        <v>3</v>
      </c>
      <c r="M7" s="65" t="n">
        <f aca="false">COUNTIF(E25:HQ30,"A")</f>
        <v>2</v>
      </c>
      <c r="N7" s="65" t="n">
        <f aca="false">COUNTIF(E25:HQ30,"B")</f>
        <v>1</v>
      </c>
      <c r="O7" s="66" t="n">
        <f aca="false">COUNTA(E9:HT9)</f>
        <v>6</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21"/>
      <c r="M9" s="121"/>
    </row>
    <row r="10" customFormat="false" ht="15.75" hidden="false" customHeight="true" outlineLevel="0" collapsed="false">
      <c r="A10" s="71" t="s">
        <v>103</v>
      </c>
      <c r="B10" s="147" t="s">
        <v>104</v>
      </c>
      <c r="C10" s="148"/>
      <c r="D10" s="80"/>
      <c r="E10" s="149"/>
      <c r="F10" s="150"/>
      <c r="G10" s="150"/>
      <c r="H10" s="150"/>
      <c r="I10" s="150"/>
      <c r="J10" s="150"/>
      <c r="K10" s="150"/>
      <c r="L10" s="121"/>
      <c r="M10" s="121"/>
    </row>
    <row r="11" customFormat="false" ht="15.75" hidden="false" customHeight="true" outlineLevel="0" collapsed="false">
      <c r="A11" s="151"/>
      <c r="B11" s="147"/>
      <c r="C11" s="148"/>
      <c r="D11" s="80" t="s">
        <v>219</v>
      </c>
      <c r="E11" s="152"/>
      <c r="F11" s="150" t="s">
        <v>106</v>
      </c>
      <c r="G11" s="150" t="s">
        <v>106</v>
      </c>
      <c r="H11" s="150" t="s">
        <v>106</v>
      </c>
      <c r="I11" s="150" t="s">
        <v>106</v>
      </c>
      <c r="J11" s="150" t="s">
        <v>106</v>
      </c>
      <c r="K11" s="150" t="s">
        <v>106</v>
      </c>
      <c r="L11" s="121"/>
      <c r="M11" s="121"/>
    </row>
    <row r="12" customFormat="false" ht="15.75" hidden="false" customHeight="true" outlineLevel="0" collapsed="false">
      <c r="A12" s="151"/>
      <c r="B12" s="147"/>
      <c r="C12" s="148"/>
      <c r="D12" s="80" t="s">
        <v>246</v>
      </c>
      <c r="E12" s="152"/>
      <c r="F12" s="150" t="s">
        <v>106</v>
      </c>
      <c r="G12" s="150" t="s">
        <v>106</v>
      </c>
      <c r="H12" s="150" t="s">
        <v>106</v>
      </c>
      <c r="I12" s="150" t="s">
        <v>106</v>
      </c>
      <c r="J12" s="150" t="s">
        <v>106</v>
      </c>
      <c r="K12" s="150" t="s">
        <v>106</v>
      </c>
      <c r="L12" s="121"/>
      <c r="M12" s="121"/>
    </row>
    <row r="13" customFormat="false" ht="15.75" hidden="false" customHeight="true" outlineLevel="0" collapsed="false">
      <c r="A13" s="151"/>
      <c r="B13" s="147"/>
      <c r="C13" s="148"/>
      <c r="D13" s="80" t="s">
        <v>247</v>
      </c>
      <c r="E13" s="152"/>
      <c r="F13" s="150"/>
      <c r="G13" s="150" t="s">
        <v>106</v>
      </c>
      <c r="H13" s="150"/>
      <c r="I13" s="150"/>
      <c r="J13" s="150"/>
      <c r="K13" s="150" t="s">
        <v>106</v>
      </c>
      <c r="L13" s="121"/>
      <c r="M13" s="121"/>
    </row>
    <row r="14" customFormat="false" ht="15.75" hidden="false" customHeight="true" outlineLevel="0" collapsed="false">
      <c r="A14" s="151"/>
      <c r="B14" s="147"/>
      <c r="C14" s="148"/>
      <c r="D14" s="80" t="s">
        <v>210</v>
      </c>
      <c r="E14" s="154"/>
      <c r="F14" s="150"/>
      <c r="G14" s="150"/>
      <c r="H14" s="150" t="s">
        <v>106</v>
      </c>
      <c r="I14" s="150" t="s">
        <v>106</v>
      </c>
      <c r="J14" s="150"/>
      <c r="K14" s="150"/>
      <c r="L14" s="121"/>
      <c r="M14" s="121"/>
    </row>
    <row r="15" customFormat="false" ht="15.75" hidden="false" customHeight="true" outlineLevel="0" collapsed="false">
      <c r="A15" s="161"/>
      <c r="B15" s="88"/>
      <c r="C15" s="158"/>
      <c r="D15" s="159" t="s">
        <v>248</v>
      </c>
      <c r="E15" s="185"/>
      <c r="F15" s="157"/>
      <c r="G15" s="157"/>
      <c r="H15" s="157"/>
      <c r="I15" s="157"/>
      <c r="J15" s="157" t="s">
        <v>106</v>
      </c>
      <c r="K15" s="157" t="s">
        <v>106</v>
      </c>
      <c r="L15" s="121"/>
      <c r="M15" s="121"/>
    </row>
    <row r="16" customFormat="false" ht="15.75" hidden="false" customHeight="true" outlineLevel="0" collapsed="false">
      <c r="A16" s="161"/>
      <c r="B16" s="88"/>
      <c r="C16" s="158"/>
      <c r="D16" s="159"/>
      <c r="E16" s="185"/>
      <c r="F16" s="157"/>
      <c r="G16" s="157"/>
      <c r="H16" s="157"/>
      <c r="I16" s="157"/>
      <c r="J16" s="157"/>
      <c r="K16" s="157"/>
      <c r="L16" s="121"/>
      <c r="M16" s="121"/>
    </row>
    <row r="17" customFormat="false" ht="15.75" hidden="false" customHeight="true" outlineLevel="0" collapsed="false">
      <c r="A17" s="87" t="s">
        <v>111</v>
      </c>
      <c r="B17" s="88" t="s">
        <v>112</v>
      </c>
      <c r="C17" s="158"/>
      <c r="D17" s="159"/>
      <c r="E17" s="160"/>
      <c r="F17" s="157"/>
      <c r="G17" s="157"/>
      <c r="H17" s="157"/>
      <c r="I17" s="157"/>
      <c r="J17" s="157"/>
      <c r="K17" s="157"/>
      <c r="L17" s="121"/>
      <c r="M17" s="121"/>
    </row>
    <row r="18" customFormat="false" ht="15.75" hidden="false" customHeight="true" outlineLevel="0" collapsed="false">
      <c r="A18" s="161"/>
      <c r="B18" s="97"/>
      <c r="C18" s="162"/>
      <c r="D18" s="99" t="s">
        <v>249</v>
      </c>
      <c r="E18" s="163"/>
      <c r="F18" s="150" t="s">
        <v>106</v>
      </c>
      <c r="G18" s="150" t="s">
        <v>106</v>
      </c>
      <c r="H18" s="150"/>
      <c r="I18" s="150"/>
      <c r="J18" s="150"/>
      <c r="K18" s="150" t="s">
        <v>106</v>
      </c>
      <c r="L18" s="121"/>
      <c r="M18" s="121"/>
    </row>
    <row r="19" customFormat="false" ht="15.75" hidden="false" customHeight="true" outlineLevel="0" collapsed="false">
      <c r="A19" s="161"/>
      <c r="B19" s="97"/>
      <c r="C19" s="56"/>
      <c r="D19" s="99" t="s">
        <v>213</v>
      </c>
      <c r="E19" s="164"/>
      <c r="F19" s="150"/>
      <c r="G19" s="150" t="s">
        <v>106</v>
      </c>
      <c r="H19" s="150" t="s">
        <v>106</v>
      </c>
      <c r="I19" s="150" t="s">
        <v>106</v>
      </c>
      <c r="J19" s="150"/>
      <c r="K19" s="150" t="s">
        <v>106</v>
      </c>
      <c r="L19" s="121"/>
      <c r="M19" s="121"/>
    </row>
    <row r="20" customFormat="false" ht="15.75" hidden="false" customHeight="true" outlineLevel="0" collapsed="false">
      <c r="A20" s="161"/>
      <c r="B20" s="97"/>
      <c r="C20" s="56"/>
      <c r="D20" s="99" t="s">
        <v>250</v>
      </c>
      <c r="E20" s="164"/>
      <c r="F20" s="150"/>
      <c r="G20" s="150"/>
      <c r="H20" s="150"/>
      <c r="I20" s="150"/>
      <c r="J20" s="150" t="s">
        <v>106</v>
      </c>
      <c r="K20" s="150" t="s">
        <v>106</v>
      </c>
      <c r="L20" s="121"/>
      <c r="M20" s="121"/>
    </row>
    <row r="21" customFormat="false" ht="15.75" hidden="false" customHeight="true" outlineLevel="0" collapsed="false">
      <c r="A21" s="161"/>
      <c r="B21" s="97" t="s">
        <v>116</v>
      </c>
      <c r="C21" s="56"/>
      <c r="D21" s="99"/>
      <c r="E21" s="164"/>
      <c r="F21" s="150"/>
      <c r="G21" s="150"/>
      <c r="H21" s="150"/>
      <c r="I21" s="150"/>
      <c r="J21" s="150"/>
      <c r="K21" s="150"/>
      <c r="L21" s="121"/>
      <c r="M21" s="121"/>
    </row>
    <row r="22" customFormat="false" ht="15.75" hidden="false" customHeight="true" outlineLevel="0" collapsed="false">
      <c r="A22" s="161"/>
      <c r="B22" s="97"/>
      <c r="C22" s="56"/>
      <c r="D22" s="99" t="s">
        <v>251</v>
      </c>
      <c r="E22" s="164"/>
      <c r="F22" s="150" t="s">
        <v>106</v>
      </c>
      <c r="G22" s="150"/>
      <c r="H22" s="150"/>
      <c r="I22" s="150"/>
      <c r="J22" s="150"/>
      <c r="K22" s="150" t="s">
        <v>106</v>
      </c>
      <c r="L22" s="121"/>
      <c r="M22" s="121"/>
    </row>
    <row r="23" customFormat="false" ht="15.75" hidden="false" customHeight="true" outlineLevel="0" collapsed="false">
      <c r="A23" s="161"/>
      <c r="B23" s="97"/>
      <c r="C23" s="56"/>
      <c r="D23" s="99" t="s">
        <v>252</v>
      </c>
      <c r="E23" s="164"/>
      <c r="F23" s="150"/>
      <c r="G23" s="150" t="s">
        <v>106</v>
      </c>
      <c r="H23" s="150" t="s">
        <v>106</v>
      </c>
      <c r="I23" s="150" t="s">
        <v>106</v>
      </c>
      <c r="J23" s="150"/>
      <c r="K23" s="150" t="s">
        <v>106</v>
      </c>
      <c r="L23" s="121"/>
      <c r="M23" s="121"/>
    </row>
    <row r="24" customFormat="false" ht="15.75" hidden="false" customHeight="true" outlineLevel="0" collapsed="false">
      <c r="A24" s="161"/>
      <c r="B24" s="97"/>
      <c r="C24" s="56"/>
      <c r="D24" s="99" t="s">
        <v>253</v>
      </c>
      <c r="E24" s="164"/>
      <c r="F24" s="150"/>
      <c r="G24" s="150"/>
      <c r="H24" s="150"/>
      <c r="I24" s="150"/>
      <c r="J24" s="150" t="s">
        <v>106</v>
      </c>
      <c r="K24" s="150" t="s">
        <v>106</v>
      </c>
      <c r="L24" s="121"/>
      <c r="M24" s="121"/>
    </row>
    <row r="25" customFormat="false" ht="15.75" hidden="false" customHeight="true" outlineLevel="0" collapsed="false">
      <c r="A25" s="87" t="s">
        <v>120</v>
      </c>
      <c r="B25" s="173" t="s">
        <v>121</v>
      </c>
      <c r="C25" s="173"/>
      <c r="D25" s="173"/>
      <c r="E25" s="173"/>
      <c r="F25" s="174" t="s">
        <v>122</v>
      </c>
      <c r="G25" s="174" t="s">
        <v>122</v>
      </c>
      <c r="H25" s="174" t="s">
        <v>66</v>
      </c>
      <c r="I25" s="174" t="s">
        <v>66</v>
      </c>
      <c r="J25" s="174" t="s">
        <v>122</v>
      </c>
      <c r="K25" s="174" t="s">
        <v>150</v>
      </c>
      <c r="L25" s="121"/>
      <c r="M25" s="121"/>
    </row>
    <row r="26" customFormat="false" ht="15.75" hidden="false" customHeight="true" outlineLevel="0" collapsed="false">
      <c r="A26" s="161"/>
      <c r="B26" s="175" t="s">
        <v>123</v>
      </c>
      <c r="C26" s="175"/>
      <c r="D26" s="175"/>
      <c r="E26" s="176"/>
      <c r="F26" s="177" t="s">
        <v>124</v>
      </c>
      <c r="G26" s="177" t="s">
        <v>124</v>
      </c>
      <c r="H26" s="177" t="s">
        <v>124</v>
      </c>
      <c r="I26" s="177" t="s">
        <v>124</v>
      </c>
      <c r="J26" s="177" t="s">
        <v>124</v>
      </c>
      <c r="K26" s="177" t="s">
        <v>124</v>
      </c>
      <c r="L26" s="121"/>
      <c r="M26" s="121"/>
    </row>
    <row r="27" customFormat="false" ht="60" hidden="false" customHeight="true" outlineLevel="0" collapsed="false">
      <c r="A27" s="161"/>
      <c r="B27" s="178" t="s">
        <v>125</v>
      </c>
      <c r="C27" s="178"/>
      <c r="D27" s="178"/>
      <c r="E27" s="112"/>
      <c r="F27" s="179" t="n">
        <v>46062</v>
      </c>
      <c r="G27" s="179" t="n">
        <v>46062</v>
      </c>
      <c r="H27" s="179" t="n">
        <v>46062</v>
      </c>
      <c r="I27" s="179" t="n">
        <v>46062</v>
      </c>
      <c r="J27" s="179" t="n">
        <v>46062</v>
      </c>
      <c r="K27" s="179" t="n">
        <v>46062</v>
      </c>
      <c r="L27" s="121"/>
      <c r="M27" s="121"/>
    </row>
    <row r="28" customFormat="false" ht="79.5" hidden="false" customHeight="true" outlineLevel="0" collapsed="false">
      <c r="A28" s="180"/>
      <c r="B28" s="181" t="s">
        <v>126</v>
      </c>
      <c r="C28" s="181"/>
      <c r="D28" s="181"/>
      <c r="E28" s="182"/>
      <c r="F28" s="183" t="s">
        <v>127</v>
      </c>
      <c r="G28" s="183" t="s">
        <v>128</v>
      </c>
      <c r="H28" s="183" t="s">
        <v>129</v>
      </c>
      <c r="I28" s="183" t="s">
        <v>130</v>
      </c>
      <c r="J28" s="183" t="s">
        <v>131</v>
      </c>
      <c r="K28" s="183" t="s">
        <v>132</v>
      </c>
      <c r="L28" s="121"/>
      <c r="M28" s="121"/>
    </row>
    <row r="29" customFormat="false" ht="12" hidden="false" customHeight="true" outlineLevel="0" collapsed="false">
      <c r="A29" s="122"/>
      <c r="B29" s="121"/>
      <c r="C29" s="140"/>
      <c r="D29" s="121"/>
      <c r="E29" s="121"/>
      <c r="F29" s="121"/>
      <c r="G29" s="121"/>
      <c r="H29" s="121"/>
      <c r="I29" s="121"/>
      <c r="J29" s="121"/>
      <c r="K29" s="121"/>
      <c r="L29" s="121"/>
      <c r="M29" s="121"/>
      <c r="N29" s="121"/>
      <c r="O29" s="121"/>
      <c r="P29" s="121"/>
      <c r="Q29" s="121"/>
      <c r="R29" s="121"/>
      <c r="S29" s="121"/>
      <c r="T29" s="121"/>
      <c r="U29" s="121"/>
      <c r="V29" s="121"/>
      <c r="W29" s="121"/>
      <c r="X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N986" s="121"/>
      <c r="O986" s="121"/>
      <c r="P986" s="121"/>
      <c r="Q986" s="121"/>
      <c r="R986" s="121"/>
      <c r="S986" s="121"/>
      <c r="T986" s="121"/>
      <c r="U986" s="121"/>
      <c r="V986" s="121"/>
      <c r="W986" s="121"/>
      <c r="X986" s="121"/>
      <c r="Y986" s="121"/>
      <c r="Z986"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5:D25"/>
    <mergeCell ref="B26:D26"/>
    <mergeCell ref="B27:D27"/>
    <mergeCell ref="B28:D28"/>
  </mergeCells>
  <dataValidations count="3">
    <dataValidation allowBlank="true" errorStyle="stop" operator="between" prompt=" - " showDropDown="false" showErrorMessage="true" showInputMessage="true" sqref="F10:K24" type="list">
      <formula1>"O"</formula1>
      <formula2>0</formula2>
    </dataValidation>
    <dataValidation allowBlank="true" errorStyle="stop" operator="between" prompt=" - " showDropDown="false" showErrorMessage="true" showInputMessage="true" sqref="F26:K26" type="list">
      <formula1>"P,F"</formula1>
      <formula2>0</formula2>
    </dataValidation>
    <dataValidation allowBlank="true" errorStyle="stop" operator="between" prompt=" - " showDropDown="false" showErrorMessage="true" showInputMessage="true" sqref="F25:K25"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254</v>
      </c>
      <c r="D2" s="125"/>
      <c r="E2" s="126"/>
      <c r="F2" s="127" t="s">
        <v>82</v>
      </c>
      <c r="G2" s="127"/>
      <c r="H2" s="127"/>
      <c r="I2" s="127"/>
      <c r="J2" s="127"/>
      <c r="K2" s="127"/>
      <c r="L2" s="128" t="s">
        <v>254</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120</v>
      </c>
      <c r="D4" s="55"/>
      <c r="E4" s="135"/>
      <c r="F4" s="136" t="s">
        <v>88</v>
      </c>
      <c r="G4" s="136"/>
      <c r="H4" s="136"/>
      <c r="I4" s="136"/>
      <c r="J4" s="136"/>
      <c r="K4" s="136"/>
      <c r="L4" s="57" t="n">
        <v>7</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245</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COUNTIF(F27:HQ32,"P")</f>
        <v>5</v>
      </c>
      <c r="B7" s="63"/>
      <c r="C7" s="64" t="n">
        <f aca="false">COUNTIF(F27:HQ27,"F")</f>
        <v>0</v>
      </c>
      <c r="D7" s="64"/>
      <c r="E7" s="64"/>
      <c r="F7" s="64" t="n">
        <v>0</v>
      </c>
      <c r="G7" s="64"/>
      <c r="H7" s="64"/>
      <c r="I7" s="64"/>
      <c r="J7" s="64"/>
      <c r="K7" s="64"/>
      <c r="L7" s="65" t="n">
        <f aca="false">COUNTIF(E26:HQ31,"N")</f>
        <v>3</v>
      </c>
      <c r="M7" s="65" t="n">
        <f aca="false">COUNTIF(E26:HQ31,"A")</f>
        <v>1</v>
      </c>
      <c r="N7" s="65" t="n">
        <f aca="false">COUNTIF(E26:HQ31,"B")</f>
        <v>1</v>
      </c>
      <c r="O7" s="66" t="n">
        <f aca="false">COUNTA(E9:HT9)</f>
        <v>5</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21"/>
      <c r="L9" s="121"/>
    </row>
    <row r="10" customFormat="false" ht="15.75" hidden="false" customHeight="true" outlineLevel="0" collapsed="false">
      <c r="A10" s="71" t="s">
        <v>103</v>
      </c>
      <c r="B10" s="147" t="s">
        <v>104</v>
      </c>
      <c r="C10" s="148"/>
      <c r="D10" s="80"/>
      <c r="E10" s="149"/>
      <c r="F10" s="150"/>
      <c r="G10" s="150"/>
      <c r="H10" s="150"/>
      <c r="I10" s="150"/>
      <c r="J10" s="150"/>
      <c r="K10" s="121"/>
      <c r="L10" s="121"/>
    </row>
    <row r="11" customFormat="false" ht="15.75" hidden="false" customHeight="true" outlineLevel="0" collapsed="false">
      <c r="A11" s="151"/>
      <c r="B11" s="147"/>
      <c r="C11" s="148"/>
      <c r="D11" s="80" t="s">
        <v>219</v>
      </c>
      <c r="E11" s="152"/>
      <c r="F11" s="150" t="s">
        <v>106</v>
      </c>
      <c r="G11" s="150" t="s">
        <v>106</v>
      </c>
      <c r="H11" s="150" t="s">
        <v>106</v>
      </c>
      <c r="I11" s="150" t="s">
        <v>106</v>
      </c>
      <c r="J11" s="150"/>
      <c r="K11" s="121"/>
      <c r="L11" s="121"/>
    </row>
    <row r="12" customFormat="false" ht="15.75" hidden="false" customHeight="true" outlineLevel="0" collapsed="false">
      <c r="A12" s="151"/>
      <c r="B12" s="147"/>
      <c r="C12" s="148"/>
      <c r="D12" s="80" t="s">
        <v>255</v>
      </c>
      <c r="E12" s="152"/>
      <c r="F12" s="150" t="s">
        <v>106</v>
      </c>
      <c r="G12" s="150" t="s">
        <v>106</v>
      </c>
      <c r="H12" s="150"/>
      <c r="I12" s="150" t="s">
        <v>106</v>
      </c>
      <c r="J12" s="150" t="s">
        <v>106</v>
      </c>
      <c r="K12" s="121"/>
      <c r="L12" s="121"/>
    </row>
    <row r="13" customFormat="false" ht="15.75" hidden="false" customHeight="true" outlineLevel="0" collapsed="false">
      <c r="A13" s="151"/>
      <c r="B13" s="147"/>
      <c r="C13" s="148"/>
      <c r="D13" s="80" t="s">
        <v>256</v>
      </c>
      <c r="E13" s="152"/>
      <c r="F13" s="150" t="s">
        <v>106</v>
      </c>
      <c r="G13" s="150"/>
      <c r="H13" s="150"/>
      <c r="I13" s="150" t="s">
        <v>106</v>
      </c>
      <c r="J13" s="150"/>
      <c r="K13" s="121"/>
      <c r="L13" s="121"/>
    </row>
    <row r="14" customFormat="false" ht="15.75" hidden="false" customHeight="true" outlineLevel="0" collapsed="false">
      <c r="A14" s="151"/>
      <c r="B14" s="147"/>
      <c r="C14" s="148"/>
      <c r="D14" s="80" t="s">
        <v>257</v>
      </c>
      <c r="E14" s="154"/>
      <c r="F14" s="150"/>
      <c r="G14" s="150" t="s">
        <v>106</v>
      </c>
      <c r="H14" s="150"/>
      <c r="I14" s="150" t="s">
        <v>106</v>
      </c>
      <c r="J14" s="150"/>
      <c r="K14" s="121"/>
      <c r="L14" s="121"/>
    </row>
    <row r="15" customFormat="false" ht="15.75" hidden="false" customHeight="true" outlineLevel="0" collapsed="false">
      <c r="A15" s="161"/>
      <c r="B15" s="88"/>
      <c r="C15" s="158"/>
      <c r="D15" s="159" t="s">
        <v>258</v>
      </c>
      <c r="E15" s="185"/>
      <c r="F15" s="157"/>
      <c r="G15" s="157"/>
      <c r="H15" s="157" t="s">
        <v>106</v>
      </c>
      <c r="I15" s="157" t="s">
        <v>106</v>
      </c>
      <c r="J15" s="157"/>
      <c r="K15" s="121"/>
      <c r="L15" s="121"/>
    </row>
    <row r="16" customFormat="false" ht="15.75" hidden="false" customHeight="true" outlineLevel="0" collapsed="false">
      <c r="A16" s="161"/>
      <c r="B16" s="88"/>
      <c r="C16" s="158"/>
      <c r="D16" s="159" t="s">
        <v>236</v>
      </c>
      <c r="E16" s="185"/>
      <c r="F16" s="157"/>
      <c r="G16" s="157"/>
      <c r="H16" s="157"/>
      <c r="I16" s="157"/>
      <c r="J16" s="157" t="s">
        <v>106</v>
      </c>
      <c r="K16" s="121"/>
      <c r="L16" s="121"/>
    </row>
    <row r="17" customFormat="false" ht="15.75" hidden="false" customHeight="true" outlineLevel="0" collapsed="false">
      <c r="A17" s="161"/>
      <c r="B17" s="88"/>
      <c r="C17" s="158"/>
      <c r="D17" s="159" t="s">
        <v>237</v>
      </c>
      <c r="E17" s="185"/>
      <c r="F17" s="157"/>
      <c r="G17" s="157"/>
      <c r="H17" s="157"/>
      <c r="I17" s="157"/>
      <c r="J17" s="157"/>
      <c r="K17" s="121"/>
      <c r="L17" s="121"/>
    </row>
    <row r="18" customFormat="false" ht="15.75" hidden="false" customHeight="true" outlineLevel="0" collapsed="false">
      <c r="A18" s="87" t="s">
        <v>111</v>
      </c>
      <c r="B18" s="88" t="s">
        <v>112</v>
      </c>
      <c r="C18" s="158"/>
      <c r="D18" s="159"/>
      <c r="E18" s="160"/>
      <c r="F18" s="157"/>
      <c r="G18" s="157"/>
      <c r="H18" s="157"/>
      <c r="I18" s="157"/>
      <c r="J18" s="157"/>
      <c r="K18" s="121"/>
      <c r="L18" s="121"/>
    </row>
    <row r="19" customFormat="false" ht="15.75" hidden="false" customHeight="true" outlineLevel="0" collapsed="false">
      <c r="A19" s="161"/>
      <c r="B19" s="97"/>
      <c r="C19" s="162"/>
      <c r="D19" s="99" t="s">
        <v>259</v>
      </c>
      <c r="E19" s="163"/>
      <c r="F19" s="150" t="s">
        <v>106</v>
      </c>
      <c r="G19" s="150" t="s">
        <v>106</v>
      </c>
      <c r="H19" s="150"/>
      <c r="I19" s="150" t="s">
        <v>106</v>
      </c>
      <c r="J19" s="150" t="s">
        <v>106</v>
      </c>
      <c r="K19" s="121"/>
      <c r="L19" s="121"/>
    </row>
    <row r="20" customFormat="false" ht="15.75" hidden="false" customHeight="true" outlineLevel="0" collapsed="false">
      <c r="A20" s="161"/>
      <c r="B20" s="97"/>
      <c r="C20" s="56"/>
      <c r="D20" s="99" t="s">
        <v>260</v>
      </c>
      <c r="E20" s="164"/>
      <c r="F20" s="150"/>
      <c r="G20" s="150" t="s">
        <v>106</v>
      </c>
      <c r="H20" s="150"/>
      <c r="I20" s="150" t="s">
        <v>106</v>
      </c>
      <c r="J20" s="150"/>
      <c r="K20" s="121"/>
      <c r="L20" s="121"/>
    </row>
    <row r="21" customFormat="false" ht="15.75" hidden="false" customHeight="true" outlineLevel="0" collapsed="false">
      <c r="A21" s="161"/>
      <c r="B21" s="97"/>
      <c r="C21" s="56"/>
      <c r="D21" s="99" t="s">
        <v>261</v>
      </c>
      <c r="E21" s="164"/>
      <c r="F21" s="150"/>
      <c r="G21" s="150"/>
      <c r="H21" s="150" t="s">
        <v>106</v>
      </c>
      <c r="I21" s="150" t="s">
        <v>106</v>
      </c>
      <c r="J21" s="150"/>
      <c r="K21" s="121"/>
      <c r="L21" s="121"/>
    </row>
    <row r="22" customFormat="false" ht="15.75" hidden="false" customHeight="true" outlineLevel="0" collapsed="false">
      <c r="A22" s="161"/>
      <c r="B22" s="97" t="s">
        <v>116</v>
      </c>
      <c r="C22" s="56"/>
      <c r="D22" s="99"/>
      <c r="E22" s="164"/>
      <c r="F22" s="150"/>
      <c r="G22" s="150"/>
      <c r="H22" s="150"/>
      <c r="I22" s="150"/>
      <c r="J22" s="150"/>
      <c r="K22" s="121"/>
      <c r="L22" s="121"/>
    </row>
    <row r="23" customFormat="false" ht="15.75" hidden="false" customHeight="true" outlineLevel="0" collapsed="false">
      <c r="A23" s="161"/>
      <c r="B23" s="97"/>
      <c r="C23" s="56"/>
      <c r="D23" s="99" t="s">
        <v>262</v>
      </c>
      <c r="E23" s="164"/>
      <c r="F23" s="150" t="s">
        <v>106</v>
      </c>
      <c r="G23" s="150"/>
      <c r="H23" s="150"/>
      <c r="I23" s="150" t="s">
        <v>106</v>
      </c>
      <c r="J23" s="150"/>
      <c r="K23" s="121"/>
      <c r="L23" s="121"/>
    </row>
    <row r="24" customFormat="false" ht="15.75" hidden="false" customHeight="true" outlineLevel="0" collapsed="false">
      <c r="A24" s="161"/>
      <c r="B24" s="97"/>
      <c r="C24" s="56"/>
      <c r="D24" s="99" t="s">
        <v>263</v>
      </c>
      <c r="E24" s="164"/>
      <c r="F24" s="150"/>
      <c r="G24" s="150" t="s">
        <v>106</v>
      </c>
      <c r="H24" s="150"/>
      <c r="I24" s="150" t="s">
        <v>106</v>
      </c>
      <c r="J24" s="150" t="s">
        <v>106</v>
      </c>
      <c r="K24" s="121"/>
      <c r="L24" s="121"/>
    </row>
    <row r="25" customFormat="false" ht="15.75" hidden="false" customHeight="true" outlineLevel="0" collapsed="false">
      <c r="A25" s="161"/>
      <c r="B25" s="97"/>
      <c r="C25" s="56"/>
      <c r="D25" s="99" t="s">
        <v>264</v>
      </c>
      <c r="E25" s="164"/>
      <c r="F25" s="150"/>
      <c r="G25" s="150"/>
      <c r="H25" s="150" t="s">
        <v>106</v>
      </c>
      <c r="I25" s="150" t="s">
        <v>106</v>
      </c>
      <c r="J25" s="150"/>
      <c r="K25" s="121"/>
      <c r="L25" s="121"/>
    </row>
    <row r="26" customFormat="false" ht="15.75" hidden="false" customHeight="true" outlineLevel="0" collapsed="false">
      <c r="A26" s="87" t="s">
        <v>120</v>
      </c>
      <c r="B26" s="173" t="s">
        <v>121</v>
      </c>
      <c r="C26" s="173"/>
      <c r="D26" s="173"/>
      <c r="E26" s="173"/>
      <c r="F26" s="174" t="s">
        <v>122</v>
      </c>
      <c r="G26" s="174" t="s">
        <v>122</v>
      </c>
      <c r="H26" s="174" t="s">
        <v>122</v>
      </c>
      <c r="I26" s="174" t="s">
        <v>150</v>
      </c>
      <c r="J26" s="174" t="s">
        <v>66</v>
      </c>
      <c r="K26" s="121"/>
      <c r="L26" s="121"/>
    </row>
    <row r="27" customFormat="false" ht="15.75" hidden="false" customHeight="true" outlineLevel="0" collapsed="false">
      <c r="A27" s="161"/>
      <c r="B27" s="175" t="s">
        <v>123</v>
      </c>
      <c r="C27" s="175"/>
      <c r="D27" s="175"/>
      <c r="E27" s="176"/>
      <c r="F27" s="177" t="s">
        <v>124</v>
      </c>
      <c r="G27" s="177" t="s">
        <v>124</v>
      </c>
      <c r="H27" s="177" t="s">
        <v>124</v>
      </c>
      <c r="I27" s="177" t="s">
        <v>124</v>
      </c>
      <c r="J27" s="177" t="s">
        <v>124</v>
      </c>
      <c r="K27" s="121"/>
      <c r="L27" s="121"/>
    </row>
    <row r="28" customFormat="false" ht="60" hidden="false" customHeight="true" outlineLevel="0" collapsed="false">
      <c r="A28" s="161"/>
      <c r="B28" s="178" t="s">
        <v>125</v>
      </c>
      <c r="C28" s="178"/>
      <c r="D28" s="178"/>
      <c r="E28" s="112"/>
      <c r="F28" s="179" t="n">
        <v>46120</v>
      </c>
      <c r="G28" s="179" t="n">
        <v>46120</v>
      </c>
      <c r="H28" s="179" t="n">
        <v>46120</v>
      </c>
      <c r="I28" s="179" t="n">
        <v>46120</v>
      </c>
      <c r="J28" s="179" t="n">
        <v>46120</v>
      </c>
      <c r="K28" s="121"/>
      <c r="L28" s="121"/>
    </row>
    <row r="29" customFormat="false" ht="79.5" hidden="false" customHeight="true" outlineLevel="0" collapsed="false">
      <c r="A29" s="180"/>
      <c r="B29" s="181" t="s">
        <v>126</v>
      </c>
      <c r="C29" s="181"/>
      <c r="D29" s="181"/>
      <c r="E29" s="182"/>
      <c r="F29" s="183" t="s">
        <v>127</v>
      </c>
      <c r="G29" s="183" t="s">
        <v>128</v>
      </c>
      <c r="H29" s="183" t="s">
        <v>129</v>
      </c>
      <c r="I29" s="183" t="s">
        <v>130</v>
      </c>
      <c r="J29" s="183" t="s">
        <v>131</v>
      </c>
      <c r="K29" s="121"/>
      <c r="L29" s="121"/>
    </row>
    <row r="30" customFormat="false" ht="12" hidden="false" customHeight="true" outlineLevel="0" collapsed="false">
      <c r="A30" s="122"/>
      <c r="B30" s="121"/>
      <c r="C30" s="140"/>
      <c r="D30" s="121"/>
      <c r="E30" s="121"/>
      <c r="F30" s="121"/>
      <c r="G30" s="121"/>
      <c r="H30" s="121"/>
      <c r="I30" s="121"/>
      <c r="J30" s="121"/>
      <c r="K30" s="121"/>
      <c r="L30" s="121"/>
      <c r="M30" s="121"/>
      <c r="N30" s="121"/>
      <c r="O30" s="121"/>
      <c r="P30" s="121"/>
      <c r="Q30" s="121"/>
      <c r="R30" s="121"/>
      <c r="S30" s="121"/>
      <c r="T30" s="121"/>
      <c r="U30" s="121"/>
      <c r="V30" s="121"/>
      <c r="W30" s="121"/>
      <c r="X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N986" s="121"/>
      <c r="O986" s="121"/>
      <c r="P986" s="121"/>
      <c r="Q986" s="121"/>
      <c r="R986" s="121"/>
      <c r="S986" s="121"/>
      <c r="T986" s="121"/>
      <c r="U986" s="121"/>
      <c r="V986" s="121"/>
      <c r="W986" s="121"/>
      <c r="X986" s="121"/>
      <c r="Y986" s="121"/>
      <c r="Z986" s="121"/>
    </row>
    <row r="987" customFormat="false" ht="13.5" hidden="false" customHeight="true" outlineLevel="0" collapsed="false">
      <c r="A987" s="121"/>
      <c r="B987" s="122"/>
      <c r="C987" s="121"/>
      <c r="D987" s="140"/>
      <c r="E987" s="121"/>
      <c r="F987" s="121"/>
      <c r="G987" s="121"/>
      <c r="H987" s="121"/>
      <c r="I987" s="121"/>
      <c r="J987" s="121"/>
      <c r="K987" s="121"/>
      <c r="N987" s="121"/>
      <c r="O987" s="121"/>
      <c r="P987" s="121"/>
      <c r="Q987" s="121"/>
      <c r="R987" s="121"/>
      <c r="S987" s="121"/>
      <c r="T987" s="121"/>
      <c r="U987" s="121"/>
      <c r="V987" s="121"/>
      <c r="W987" s="121"/>
      <c r="X987" s="121"/>
      <c r="Y987" s="121"/>
      <c r="Z987"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allowBlank="true" errorStyle="stop" operator="between" prompt=" - " showDropDown="false" showErrorMessage="true" showInputMessage="true" sqref="F10:J25" type="list">
      <formula1>"O"</formula1>
      <formula2>0</formula2>
    </dataValidation>
    <dataValidation allowBlank="true" errorStyle="stop" operator="between" prompt=" - " showDropDown="false" showErrorMessage="true" showInputMessage="true" sqref="F27:J27" type="list">
      <formula1>"P,F"</formula1>
      <formula2>0</formula2>
    </dataValidation>
    <dataValidation allowBlank="true" errorStyle="stop" operator="between" prompt=" - " showDropDown="false" showErrorMessage="true" showInputMessage="true" sqref="F26:J26"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265</v>
      </c>
      <c r="D2" s="125"/>
      <c r="E2" s="126"/>
      <c r="F2" s="127" t="s">
        <v>82</v>
      </c>
      <c r="G2" s="127"/>
      <c r="H2" s="127"/>
      <c r="I2" s="127"/>
      <c r="J2" s="127"/>
      <c r="K2" s="127"/>
      <c r="L2" s="128" t="s">
        <v>265</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130</v>
      </c>
      <c r="D4" s="55"/>
      <c r="E4" s="135"/>
      <c r="F4" s="136" t="s">
        <v>88</v>
      </c>
      <c r="G4" s="136"/>
      <c r="H4" s="136"/>
      <c r="I4" s="136"/>
      <c r="J4" s="136"/>
      <c r="K4" s="136"/>
      <c r="L4" s="57" t="n">
        <v>8</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231</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v>5</v>
      </c>
      <c r="B7" s="63"/>
      <c r="C7" s="64" t="n">
        <f aca="false">COUNTIF(F25:HQ25,"F")</f>
        <v>0</v>
      </c>
      <c r="D7" s="64"/>
      <c r="E7" s="64"/>
      <c r="F7" s="64" t="n">
        <v>0</v>
      </c>
      <c r="G7" s="64"/>
      <c r="H7" s="64"/>
      <c r="I7" s="64"/>
      <c r="J7" s="64"/>
      <c r="K7" s="64"/>
      <c r="L7" s="65" t="n">
        <v>3</v>
      </c>
      <c r="M7" s="65" t="n">
        <v>1</v>
      </c>
      <c r="N7" s="65" t="n">
        <v>1</v>
      </c>
      <c r="O7" s="66" t="n">
        <v>5</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37"/>
      <c r="L9" s="121"/>
      <c r="M9" s="121"/>
      <c r="N9" s="121"/>
      <c r="O9" s="121"/>
    </row>
    <row r="10" customFormat="false" ht="15.75" hidden="false" customHeight="true" outlineLevel="0" collapsed="false">
      <c r="A10" s="71" t="s">
        <v>103</v>
      </c>
      <c r="B10" s="147" t="s">
        <v>104</v>
      </c>
      <c r="C10" s="148"/>
      <c r="D10" s="80"/>
      <c r="E10" s="149"/>
      <c r="F10" s="150"/>
      <c r="G10" s="150"/>
      <c r="H10" s="150"/>
      <c r="I10" s="150"/>
      <c r="J10" s="150"/>
      <c r="K10" s="121"/>
      <c r="L10" s="121"/>
      <c r="M10" s="121"/>
      <c r="N10" s="121"/>
      <c r="O10" s="121"/>
    </row>
    <row r="11" customFormat="false" ht="15.75" hidden="false" customHeight="true" outlineLevel="0" collapsed="false">
      <c r="A11" s="151"/>
      <c r="B11" s="147"/>
      <c r="C11" s="148"/>
      <c r="D11" s="80" t="s">
        <v>266</v>
      </c>
      <c r="E11" s="152"/>
      <c r="F11" s="150" t="s">
        <v>106</v>
      </c>
      <c r="G11" s="150" t="s">
        <v>106</v>
      </c>
      <c r="H11" s="150" t="s">
        <v>106</v>
      </c>
      <c r="I11" s="150" t="s">
        <v>106</v>
      </c>
      <c r="J11" s="150" t="s">
        <v>106</v>
      </c>
      <c r="K11" s="137"/>
      <c r="L11" s="121"/>
      <c r="M11" s="121"/>
      <c r="N11" s="121"/>
      <c r="O11" s="121"/>
    </row>
    <row r="12" customFormat="false" ht="15.75" hidden="false" customHeight="true" outlineLevel="0" collapsed="false">
      <c r="A12" s="151"/>
      <c r="B12" s="147"/>
      <c r="C12" s="148"/>
      <c r="D12" s="80" t="s">
        <v>267</v>
      </c>
      <c r="E12" s="152"/>
      <c r="F12" s="150" t="s">
        <v>106</v>
      </c>
      <c r="G12" s="150"/>
      <c r="H12" s="150"/>
      <c r="I12" s="150" t="s">
        <v>106</v>
      </c>
      <c r="J12" s="150" t="s">
        <v>106</v>
      </c>
      <c r="K12" s="121"/>
      <c r="L12" s="121"/>
      <c r="M12" s="121"/>
      <c r="N12" s="121"/>
      <c r="O12" s="121"/>
    </row>
    <row r="13" customFormat="false" ht="15.75" hidden="false" customHeight="true" outlineLevel="0" collapsed="false">
      <c r="A13" s="151"/>
      <c r="B13" s="147"/>
      <c r="C13" s="148"/>
      <c r="D13" s="80" t="s">
        <v>268</v>
      </c>
      <c r="E13" s="152"/>
      <c r="F13" s="150"/>
      <c r="G13" s="150" t="s">
        <v>106</v>
      </c>
      <c r="H13" s="150"/>
      <c r="I13" s="150" t="s">
        <v>106</v>
      </c>
      <c r="J13" s="150"/>
      <c r="K13" s="121"/>
      <c r="L13" s="121"/>
      <c r="M13" s="121"/>
      <c r="N13" s="121"/>
      <c r="O13" s="121"/>
    </row>
    <row r="14" customFormat="false" ht="15.75" hidden="false" customHeight="true" outlineLevel="0" collapsed="false">
      <c r="A14" s="151"/>
      <c r="B14" s="147"/>
      <c r="C14" s="148"/>
      <c r="D14" s="80" t="s">
        <v>269</v>
      </c>
      <c r="E14" s="154"/>
      <c r="F14" s="150" t="s">
        <v>106</v>
      </c>
      <c r="G14" s="150"/>
      <c r="H14" s="150"/>
      <c r="I14" s="150" t="s">
        <v>106</v>
      </c>
      <c r="J14" s="150"/>
      <c r="K14" s="121"/>
      <c r="L14" s="121"/>
      <c r="M14" s="121"/>
      <c r="N14" s="121"/>
      <c r="O14" s="121"/>
    </row>
    <row r="15" customFormat="false" ht="15.75" hidden="false" customHeight="true" outlineLevel="0" collapsed="false">
      <c r="A15" s="161"/>
      <c r="B15" s="88"/>
      <c r="C15" s="158"/>
      <c r="D15" s="159" t="s">
        <v>270</v>
      </c>
      <c r="E15" s="185"/>
      <c r="F15" s="157"/>
      <c r="G15" s="157"/>
      <c r="H15" s="157" t="s">
        <v>106</v>
      </c>
      <c r="I15" s="157"/>
      <c r="J15" s="157"/>
      <c r="K15" s="121"/>
      <c r="L15" s="121"/>
      <c r="M15" s="121"/>
      <c r="N15" s="121"/>
      <c r="O15" s="121"/>
    </row>
    <row r="16" customFormat="false" ht="15.75" hidden="false" customHeight="true" outlineLevel="0" collapsed="false">
      <c r="A16" s="87" t="s">
        <v>111</v>
      </c>
      <c r="B16" s="88" t="s">
        <v>112</v>
      </c>
      <c r="C16" s="158"/>
      <c r="D16" s="159"/>
      <c r="E16" s="160"/>
      <c r="F16" s="157"/>
      <c r="G16" s="157"/>
      <c r="H16" s="157"/>
      <c r="I16" s="157"/>
      <c r="J16" s="157"/>
      <c r="K16" s="121"/>
      <c r="L16" s="121"/>
      <c r="M16" s="121"/>
      <c r="N16" s="121"/>
      <c r="O16" s="121"/>
    </row>
    <row r="17" customFormat="false" ht="15.75" hidden="false" customHeight="true" outlineLevel="0" collapsed="false">
      <c r="A17" s="161"/>
      <c r="B17" s="97"/>
      <c r="C17" s="162"/>
      <c r="D17" s="99" t="s">
        <v>271</v>
      </c>
      <c r="E17" s="163"/>
      <c r="F17" s="150" t="s">
        <v>106</v>
      </c>
      <c r="G17" s="150"/>
      <c r="H17" s="150" t="s">
        <v>106</v>
      </c>
      <c r="I17" s="150" t="s">
        <v>106</v>
      </c>
      <c r="J17" s="150" t="s">
        <v>106</v>
      </c>
      <c r="K17" s="121"/>
      <c r="L17" s="121"/>
      <c r="M17" s="121"/>
      <c r="N17" s="121"/>
      <c r="O17" s="121"/>
    </row>
    <row r="18" customFormat="false" ht="15.75" hidden="false" customHeight="true" outlineLevel="0" collapsed="false">
      <c r="A18" s="161"/>
      <c r="B18" s="97"/>
      <c r="C18" s="56"/>
      <c r="D18" s="99" t="s">
        <v>272</v>
      </c>
      <c r="E18" s="164"/>
      <c r="F18" s="150"/>
      <c r="G18" s="150" t="s">
        <v>106</v>
      </c>
      <c r="H18" s="150"/>
      <c r="I18" s="150" t="s">
        <v>106</v>
      </c>
      <c r="J18" s="150"/>
      <c r="K18" s="121"/>
      <c r="L18" s="121"/>
      <c r="M18" s="121"/>
      <c r="N18" s="121"/>
      <c r="O18" s="121"/>
    </row>
    <row r="19" customFormat="false" ht="15.75" hidden="false" customHeight="true" outlineLevel="0" collapsed="false">
      <c r="A19" s="161"/>
      <c r="B19" s="97"/>
      <c r="C19" s="56"/>
      <c r="D19" s="99" t="s">
        <v>273</v>
      </c>
      <c r="E19" s="164"/>
      <c r="F19" s="150" t="s">
        <v>106</v>
      </c>
      <c r="G19" s="150" t="s">
        <v>106</v>
      </c>
      <c r="H19" s="150"/>
      <c r="I19" s="150" t="s">
        <v>106</v>
      </c>
      <c r="J19" s="150" t="s">
        <v>106</v>
      </c>
      <c r="K19" s="121"/>
      <c r="L19" s="121"/>
      <c r="M19" s="121"/>
      <c r="N19" s="121"/>
      <c r="O19" s="121"/>
    </row>
    <row r="20" customFormat="false" ht="15.75" hidden="false" customHeight="true" outlineLevel="0" collapsed="false">
      <c r="A20" s="161"/>
      <c r="B20" s="97" t="s">
        <v>116</v>
      </c>
      <c r="C20" s="56"/>
      <c r="D20" s="99"/>
      <c r="E20" s="164"/>
      <c r="F20" s="150"/>
      <c r="G20" s="150"/>
      <c r="H20" s="150"/>
      <c r="I20" s="150"/>
      <c r="J20" s="150"/>
      <c r="K20" s="121"/>
      <c r="L20" s="121"/>
      <c r="M20" s="121"/>
      <c r="N20" s="121"/>
      <c r="O20" s="121"/>
    </row>
    <row r="21" customFormat="false" ht="15.75" hidden="false" customHeight="true" outlineLevel="0" collapsed="false">
      <c r="A21" s="161"/>
      <c r="B21" s="97"/>
      <c r="C21" s="56"/>
      <c r="D21" s="99" t="s">
        <v>274</v>
      </c>
      <c r="E21" s="164"/>
      <c r="F21" s="150" t="s">
        <v>106</v>
      </c>
      <c r="G21" s="150"/>
      <c r="H21" s="150"/>
      <c r="I21" s="150" t="s">
        <v>106</v>
      </c>
      <c r="J21" s="150" t="s">
        <v>106</v>
      </c>
      <c r="K21" s="121"/>
      <c r="L21" s="121"/>
      <c r="M21" s="121"/>
      <c r="N21" s="121"/>
      <c r="O21" s="121"/>
    </row>
    <row r="22" customFormat="false" ht="15.75" hidden="false" customHeight="true" outlineLevel="0" collapsed="false">
      <c r="A22" s="161"/>
      <c r="B22" s="97"/>
      <c r="C22" s="56"/>
      <c r="D22" s="99" t="s">
        <v>275</v>
      </c>
      <c r="E22" s="164"/>
      <c r="F22" s="150"/>
      <c r="G22" s="150" t="s">
        <v>106</v>
      </c>
      <c r="H22" s="150"/>
      <c r="I22" s="150" t="s">
        <v>106</v>
      </c>
      <c r="J22" s="150"/>
      <c r="K22" s="121"/>
      <c r="L22" s="121"/>
      <c r="M22" s="121"/>
      <c r="N22" s="121"/>
      <c r="O22" s="121"/>
    </row>
    <row r="23" customFormat="false" ht="15.75" hidden="false" customHeight="true" outlineLevel="0" collapsed="false">
      <c r="A23" s="161"/>
      <c r="B23" s="97"/>
      <c r="C23" s="56"/>
      <c r="D23" s="99" t="s">
        <v>276</v>
      </c>
      <c r="E23" s="164"/>
      <c r="F23" s="150"/>
      <c r="G23" s="150"/>
      <c r="H23" s="150" t="s">
        <v>106</v>
      </c>
      <c r="I23" s="150"/>
      <c r="J23" s="150"/>
      <c r="K23" s="121"/>
      <c r="L23" s="121"/>
      <c r="M23" s="121"/>
      <c r="N23" s="121"/>
      <c r="O23" s="121"/>
    </row>
    <row r="24" customFormat="false" ht="15.75" hidden="false" customHeight="true" outlineLevel="0" collapsed="false">
      <c r="A24" s="87" t="s">
        <v>120</v>
      </c>
      <c r="B24" s="173" t="s">
        <v>121</v>
      </c>
      <c r="C24" s="173"/>
      <c r="D24" s="173"/>
      <c r="E24" s="173"/>
      <c r="F24" s="174" t="s">
        <v>122</v>
      </c>
      <c r="G24" s="174" t="s">
        <v>122</v>
      </c>
      <c r="H24" s="174" t="s">
        <v>66</v>
      </c>
      <c r="I24" s="174" t="s">
        <v>150</v>
      </c>
      <c r="J24" s="174" t="s">
        <v>122</v>
      </c>
      <c r="K24" s="121"/>
      <c r="L24" s="121"/>
      <c r="M24" s="121"/>
      <c r="N24" s="121"/>
      <c r="O24" s="121"/>
    </row>
    <row r="25" customFormat="false" ht="15.75" hidden="false" customHeight="true" outlineLevel="0" collapsed="false">
      <c r="A25" s="161"/>
      <c r="B25" s="175" t="s">
        <v>123</v>
      </c>
      <c r="C25" s="175"/>
      <c r="D25" s="175"/>
      <c r="E25" s="176"/>
      <c r="F25" s="177" t="s">
        <v>124</v>
      </c>
      <c r="G25" s="177" t="s">
        <v>124</v>
      </c>
      <c r="H25" s="177" t="s">
        <v>124</v>
      </c>
      <c r="I25" s="177" t="s">
        <v>124</v>
      </c>
      <c r="J25" s="177" t="s">
        <v>124</v>
      </c>
      <c r="K25" s="121"/>
      <c r="L25" s="121"/>
      <c r="M25" s="121"/>
      <c r="N25" s="121"/>
      <c r="O25" s="121"/>
    </row>
    <row r="26" customFormat="false" ht="60" hidden="false" customHeight="true" outlineLevel="0" collapsed="false">
      <c r="A26" s="161"/>
      <c r="B26" s="178" t="s">
        <v>125</v>
      </c>
      <c r="C26" s="178"/>
      <c r="D26" s="178"/>
      <c r="E26" s="112"/>
      <c r="F26" s="179" t="n">
        <v>46063</v>
      </c>
      <c r="G26" s="179" t="n">
        <v>46063</v>
      </c>
      <c r="H26" s="179" t="n">
        <v>46063</v>
      </c>
      <c r="I26" s="179" t="n">
        <v>46063</v>
      </c>
      <c r="J26" s="179" t="n">
        <v>46063</v>
      </c>
      <c r="K26" s="121"/>
      <c r="L26" s="121"/>
      <c r="M26" s="121"/>
      <c r="N26" s="121"/>
      <c r="O26" s="121"/>
    </row>
    <row r="27" customFormat="false" ht="79.5" hidden="false" customHeight="true" outlineLevel="0" collapsed="false">
      <c r="A27" s="180"/>
      <c r="B27" s="181" t="s">
        <v>126</v>
      </c>
      <c r="C27" s="181"/>
      <c r="D27" s="181"/>
      <c r="E27" s="182"/>
      <c r="F27" s="183" t="s">
        <v>127</v>
      </c>
      <c r="G27" s="183" t="s">
        <v>128</v>
      </c>
      <c r="H27" s="183" t="s">
        <v>129</v>
      </c>
      <c r="I27" s="183" t="s">
        <v>130</v>
      </c>
      <c r="J27" s="183" t="s">
        <v>131</v>
      </c>
      <c r="K27" s="121"/>
      <c r="L27" s="121"/>
      <c r="M27" s="121"/>
      <c r="N27" s="121"/>
      <c r="O27" s="121"/>
    </row>
    <row r="28" customFormat="false" ht="12" hidden="false" customHeight="true" outlineLevel="0" collapsed="false">
      <c r="A28" s="122"/>
      <c r="B28" s="121"/>
      <c r="C28" s="140"/>
      <c r="D28" s="121"/>
      <c r="E28" s="121"/>
      <c r="F28" s="121"/>
      <c r="G28" s="121"/>
      <c r="H28" s="121"/>
      <c r="I28" s="121"/>
      <c r="J28" s="121"/>
      <c r="K28" s="121"/>
      <c r="L28" s="121"/>
      <c r="M28" s="121"/>
      <c r="N28" s="121"/>
      <c r="O28" s="121"/>
      <c r="P28" s="121"/>
      <c r="Q28" s="121"/>
      <c r="R28" s="121"/>
      <c r="S28" s="121"/>
      <c r="T28" s="121"/>
      <c r="U28" s="121"/>
      <c r="V28" s="121"/>
      <c r="W28" s="121"/>
      <c r="X28" s="121"/>
    </row>
    <row r="29" customFormat="false" ht="13.5" hidden="false" customHeight="true" outlineLevel="0" collapsed="false">
      <c r="A29" s="121"/>
      <c r="B29" s="122"/>
      <c r="C29" s="121"/>
      <c r="D29" s="140"/>
      <c r="E29" s="121"/>
      <c r="F29" s="121"/>
      <c r="G29" s="121"/>
      <c r="H29" s="121"/>
      <c r="I29" s="121"/>
      <c r="J29" s="121"/>
      <c r="K29" s="121"/>
      <c r="L29" s="121"/>
      <c r="M29" s="121"/>
      <c r="N29" s="121"/>
      <c r="O29" s="121"/>
      <c r="P29" s="121"/>
      <c r="Q29" s="121"/>
      <c r="R29" s="121"/>
      <c r="S29" s="121"/>
      <c r="T29" s="121"/>
      <c r="U29" s="121"/>
      <c r="V29" s="121"/>
      <c r="W29" s="121"/>
      <c r="X29" s="121"/>
      <c r="Y29" s="121"/>
      <c r="Z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4:D24"/>
    <mergeCell ref="B25:D25"/>
    <mergeCell ref="B26:D26"/>
    <mergeCell ref="B27:D27"/>
  </mergeCells>
  <dataValidations count="3">
    <dataValidation allowBlank="true" errorStyle="stop" operator="between" prompt=" - " showDropDown="false" showErrorMessage="true" showInputMessage="true" sqref="F10:J23" type="list">
      <formula1>"O"</formula1>
      <formula2>0</formula2>
    </dataValidation>
    <dataValidation allowBlank="true" errorStyle="stop" operator="between" prompt=" - " showDropDown="false" showErrorMessage="true" showInputMessage="true" sqref="F25:J25" type="list">
      <formula1>"P,F"</formula1>
      <formula2>0</formula2>
    </dataValidation>
    <dataValidation allowBlank="true" errorStyle="stop" operator="between" prompt=" - " showDropDown="false" showErrorMessage="true" showInputMessage="true" sqref="F24:J24"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defaultColWidth="12.62890625" defaultRowHeight="15" zeroHeight="false" outlineLevelRow="0" outlineLevelCol="0"/>
  <cols>
    <col collapsed="false" customWidth="true" hidden="false" outlineLevel="0" max="1" min="1" style="1" width="9.88"/>
    <col collapsed="false" customWidth="true" hidden="false" outlineLevel="0" max="2" min="2" style="1" width="13.38"/>
    <col collapsed="false" customWidth="true" hidden="false" outlineLevel="0" max="3" min="3" style="1" width="10.88"/>
    <col collapsed="false" customWidth="true" hidden="false" outlineLevel="0" max="4" min="4" style="1" width="19"/>
    <col collapsed="false" customWidth="true" hidden="true" outlineLevel="0" max="5" min="5" style="1" width="1.88"/>
    <col collapsed="false" customWidth="true" hidden="false" outlineLevel="0" max="15" min="6" style="1" width="7"/>
    <col collapsed="false" customWidth="true" hidden="false" outlineLevel="0" max="21" min="16" style="1" width="2.88"/>
    <col collapsed="false" customWidth="true" hidden="false" outlineLevel="0" max="23" min="22" style="1" width="9"/>
    <col collapsed="false" customWidth="true" hidden="false" outlineLevel="0" max="26" min="24" style="1" width="10"/>
  </cols>
  <sheetData>
    <row r="1" customFormat="false" ht="22.5" hidden="false" customHeight="true" outlineLevel="0" collapsed="false">
      <c r="A1" s="121"/>
      <c r="B1" s="122"/>
      <c r="C1" s="121"/>
      <c r="D1" s="123"/>
      <c r="E1" s="121"/>
      <c r="F1" s="121"/>
      <c r="G1" s="121"/>
      <c r="H1" s="121"/>
      <c r="I1" s="121"/>
      <c r="J1" s="121"/>
      <c r="K1" s="121"/>
      <c r="L1" s="121"/>
      <c r="M1" s="121"/>
      <c r="N1" s="121"/>
      <c r="O1" s="121"/>
      <c r="P1" s="121"/>
      <c r="Q1" s="121"/>
      <c r="R1" s="121"/>
      <c r="S1" s="121"/>
      <c r="T1" s="121"/>
      <c r="U1" s="121"/>
      <c r="V1" s="121"/>
      <c r="W1" s="121"/>
      <c r="X1" s="121"/>
      <c r="Y1" s="121"/>
      <c r="Z1" s="121"/>
    </row>
    <row r="2" customFormat="false" ht="15" hidden="false" customHeight="true" outlineLevel="0" collapsed="false">
      <c r="A2" s="124" t="s">
        <v>80</v>
      </c>
      <c r="B2" s="124"/>
      <c r="C2" s="125" t="s">
        <v>277</v>
      </c>
      <c r="D2" s="125"/>
      <c r="E2" s="126"/>
      <c r="F2" s="127" t="s">
        <v>82</v>
      </c>
      <c r="G2" s="127"/>
      <c r="H2" s="127"/>
      <c r="I2" s="127"/>
      <c r="J2" s="127"/>
      <c r="K2" s="127"/>
      <c r="L2" s="128" t="s">
        <v>277</v>
      </c>
      <c r="M2" s="128"/>
      <c r="N2" s="128"/>
      <c r="O2" s="128"/>
      <c r="P2" s="128"/>
      <c r="Q2" s="128"/>
      <c r="R2" s="128"/>
      <c r="S2" s="128"/>
      <c r="T2" s="128"/>
      <c r="U2" s="121"/>
      <c r="V2" s="121"/>
      <c r="W2" s="121"/>
      <c r="X2" s="121"/>
      <c r="Y2" s="121"/>
      <c r="Z2" s="121"/>
    </row>
    <row r="3" customFormat="false" ht="13.5" hidden="false" customHeight="true" outlineLevel="0" collapsed="false">
      <c r="A3" s="129" t="s">
        <v>84</v>
      </c>
      <c r="B3" s="129"/>
      <c r="C3" s="130" t="s">
        <v>85</v>
      </c>
      <c r="D3" s="130"/>
      <c r="E3" s="130"/>
      <c r="F3" s="131" t="s">
        <v>86</v>
      </c>
      <c r="G3" s="131"/>
      <c r="H3" s="131"/>
      <c r="I3" s="131"/>
      <c r="J3" s="131"/>
      <c r="K3" s="131"/>
      <c r="L3" s="184" t="s">
        <v>85</v>
      </c>
      <c r="M3" s="184"/>
      <c r="N3" s="184"/>
      <c r="O3" s="52"/>
      <c r="P3" s="52"/>
      <c r="Q3" s="52"/>
      <c r="R3" s="52"/>
      <c r="S3" s="52"/>
      <c r="T3" s="133"/>
      <c r="U3" s="121"/>
      <c r="V3" s="121"/>
      <c r="W3" s="121"/>
      <c r="X3" s="121"/>
      <c r="Y3" s="121"/>
      <c r="Z3" s="121"/>
    </row>
    <row r="4" customFormat="false" ht="13.5" hidden="false" customHeight="true" outlineLevel="0" collapsed="false">
      <c r="A4" s="134" t="s">
        <v>87</v>
      </c>
      <c r="B4" s="134"/>
      <c r="C4" s="55" t="n">
        <v>230</v>
      </c>
      <c r="D4" s="55"/>
      <c r="E4" s="135"/>
      <c r="F4" s="136" t="s">
        <v>88</v>
      </c>
      <c r="G4" s="136"/>
      <c r="H4" s="136"/>
      <c r="I4" s="136"/>
      <c r="J4" s="136"/>
      <c r="K4" s="136"/>
      <c r="L4" s="57" t="n">
        <v>15</v>
      </c>
      <c r="M4" s="57"/>
      <c r="N4" s="57"/>
      <c r="O4" s="57"/>
      <c r="P4" s="57"/>
      <c r="Q4" s="57"/>
      <c r="R4" s="57"/>
      <c r="S4" s="57"/>
      <c r="T4" s="57"/>
      <c r="U4" s="121"/>
      <c r="V4" s="137"/>
      <c r="W4" s="121"/>
      <c r="X4" s="121"/>
      <c r="Y4" s="121"/>
      <c r="Z4" s="121"/>
    </row>
    <row r="5" customFormat="false" ht="13.5" hidden="false" customHeight="true" outlineLevel="0" collapsed="false">
      <c r="A5" s="134" t="s">
        <v>89</v>
      </c>
      <c r="B5" s="134"/>
      <c r="C5" s="138" t="s">
        <v>245</v>
      </c>
      <c r="D5" s="138"/>
      <c r="E5" s="138"/>
      <c r="F5" s="138"/>
      <c r="G5" s="138"/>
      <c r="H5" s="138"/>
      <c r="I5" s="138"/>
      <c r="J5" s="138"/>
      <c r="K5" s="138"/>
      <c r="L5" s="138"/>
      <c r="M5" s="138"/>
      <c r="N5" s="138"/>
      <c r="O5" s="138"/>
      <c r="P5" s="138"/>
      <c r="Q5" s="138"/>
      <c r="R5" s="138"/>
      <c r="S5" s="138"/>
      <c r="T5" s="138"/>
      <c r="U5" s="121"/>
      <c r="V5" s="121"/>
      <c r="W5" s="121"/>
      <c r="X5" s="121"/>
      <c r="Y5" s="121"/>
      <c r="Z5" s="121"/>
    </row>
    <row r="6" customFormat="false" ht="13.5" hidden="false" customHeight="true" outlineLevel="0" collapsed="false">
      <c r="A6" s="59" t="s">
        <v>91</v>
      </c>
      <c r="B6" s="59"/>
      <c r="C6" s="60" t="s">
        <v>92</v>
      </c>
      <c r="D6" s="60"/>
      <c r="E6" s="60"/>
      <c r="F6" s="60" t="s">
        <v>93</v>
      </c>
      <c r="G6" s="60"/>
      <c r="H6" s="60"/>
      <c r="I6" s="60"/>
      <c r="J6" s="60"/>
      <c r="K6" s="60"/>
      <c r="L6" s="61" t="s">
        <v>94</v>
      </c>
      <c r="M6" s="61"/>
      <c r="N6" s="61"/>
      <c r="O6" s="62" t="s">
        <v>95</v>
      </c>
      <c r="P6" s="62"/>
      <c r="Q6" s="62"/>
      <c r="R6" s="62"/>
      <c r="S6" s="62"/>
      <c r="T6" s="62"/>
      <c r="U6" s="121"/>
      <c r="V6" s="137"/>
      <c r="W6" s="121"/>
      <c r="X6" s="121"/>
      <c r="Y6" s="121"/>
      <c r="Z6" s="121"/>
    </row>
    <row r="7" customFormat="false" ht="13.5" hidden="false" customHeight="true" outlineLevel="0" collapsed="false">
      <c r="A7" s="63" t="n">
        <f aca="false">COUNTIF(F26:HQ31,"P")</f>
        <v>8</v>
      </c>
      <c r="B7" s="63"/>
      <c r="C7" s="64" t="n">
        <f aca="false">COUNTIF(F26:HQ26,"F")</f>
        <v>0</v>
      </c>
      <c r="D7" s="64"/>
      <c r="E7" s="64"/>
      <c r="F7" s="64" t="n">
        <v>0</v>
      </c>
      <c r="G7" s="64"/>
      <c r="H7" s="64"/>
      <c r="I7" s="64"/>
      <c r="J7" s="64"/>
      <c r="K7" s="64"/>
      <c r="L7" s="65" t="n">
        <f aca="false">COUNTIF(E25:HQ30,"N")</f>
        <v>3</v>
      </c>
      <c r="M7" s="65" t="n">
        <f aca="false">COUNTIF(E25:HQ30,"A")</f>
        <v>4</v>
      </c>
      <c r="N7" s="65" t="n">
        <f aca="false">COUNTIF(E25:HQ30,"B")</f>
        <v>1</v>
      </c>
      <c r="O7" s="66" t="n">
        <f aca="false">COUNTA(E9:HT9)</f>
        <v>8</v>
      </c>
      <c r="P7" s="66"/>
      <c r="Q7" s="66"/>
      <c r="R7" s="66"/>
      <c r="S7" s="66"/>
      <c r="T7" s="66"/>
      <c r="U7" s="139"/>
      <c r="V7" s="121"/>
      <c r="W7" s="121"/>
      <c r="X7" s="121"/>
      <c r="Y7" s="121"/>
      <c r="Z7" s="121"/>
    </row>
    <row r="8" customFormat="false" ht="12" hidden="false" customHeight="true" outlineLevel="0" collapsed="false">
      <c r="A8" s="121"/>
      <c r="B8" s="122"/>
      <c r="C8" s="121"/>
      <c r="D8" s="140"/>
      <c r="E8" s="121"/>
      <c r="F8" s="121"/>
      <c r="G8" s="121"/>
      <c r="H8" s="121"/>
      <c r="I8" s="121"/>
      <c r="J8" s="121"/>
      <c r="K8" s="121"/>
      <c r="L8" s="121"/>
      <c r="M8" s="121"/>
      <c r="N8" s="121"/>
      <c r="O8" s="121"/>
      <c r="P8" s="121"/>
      <c r="Q8" s="121"/>
      <c r="R8" s="121"/>
      <c r="S8" s="121"/>
      <c r="T8" s="121"/>
      <c r="U8" s="121"/>
      <c r="V8" s="121"/>
      <c r="W8" s="121"/>
      <c r="X8" s="121"/>
      <c r="Y8" s="121"/>
      <c r="Z8" s="121"/>
    </row>
    <row r="9" customFormat="false" ht="45" hidden="false" customHeight="true" outlineLevel="0" collapsed="false">
      <c r="A9" s="141"/>
      <c r="B9" s="142"/>
      <c r="C9" s="143"/>
      <c r="D9" s="144"/>
      <c r="E9" s="143"/>
      <c r="F9" s="145" t="s">
        <v>96</v>
      </c>
      <c r="G9" s="145" t="s">
        <v>97</v>
      </c>
      <c r="H9" s="145" t="s">
        <v>98</v>
      </c>
      <c r="I9" s="145" t="s">
        <v>99</v>
      </c>
      <c r="J9" s="145" t="s">
        <v>100</v>
      </c>
      <c r="K9" s="145" t="s">
        <v>101</v>
      </c>
      <c r="L9" s="145" t="s">
        <v>102</v>
      </c>
      <c r="M9" s="145" t="s">
        <v>179</v>
      </c>
      <c r="N9" s="121"/>
      <c r="O9" s="121"/>
    </row>
    <row r="10" customFormat="false" ht="15.75" hidden="false" customHeight="true" outlineLevel="0" collapsed="false">
      <c r="A10" s="71" t="s">
        <v>103</v>
      </c>
      <c r="B10" s="147" t="s">
        <v>104</v>
      </c>
      <c r="C10" s="148"/>
      <c r="D10" s="80"/>
      <c r="E10" s="149"/>
      <c r="F10" s="150"/>
      <c r="G10" s="150"/>
      <c r="H10" s="150"/>
      <c r="I10" s="150"/>
      <c r="J10" s="150"/>
      <c r="K10" s="150"/>
      <c r="L10" s="150"/>
      <c r="M10" s="150"/>
      <c r="N10" s="121"/>
      <c r="O10" s="121"/>
    </row>
    <row r="11" customFormat="false" ht="15.75" hidden="false" customHeight="true" outlineLevel="0" collapsed="false">
      <c r="A11" s="151"/>
      <c r="B11" s="147"/>
      <c r="C11" s="148"/>
      <c r="D11" s="80" t="s">
        <v>278</v>
      </c>
      <c r="E11" s="152"/>
      <c r="F11" s="150" t="s">
        <v>106</v>
      </c>
      <c r="G11" s="150" t="s">
        <v>106</v>
      </c>
      <c r="H11" s="150" t="s">
        <v>106</v>
      </c>
      <c r="I11" s="150" t="s">
        <v>106</v>
      </c>
      <c r="J11" s="150" t="s">
        <v>106</v>
      </c>
      <c r="K11" s="150" t="s">
        <v>106</v>
      </c>
      <c r="L11" s="150" t="s">
        <v>106</v>
      </c>
      <c r="M11" s="150" t="s">
        <v>106</v>
      </c>
      <c r="N11" s="121"/>
      <c r="O11" s="121"/>
    </row>
    <row r="12" customFormat="false" ht="15.75" hidden="false" customHeight="true" outlineLevel="0" collapsed="false">
      <c r="A12" s="151"/>
      <c r="B12" s="147"/>
      <c r="C12" s="148"/>
      <c r="D12" s="80" t="s">
        <v>279</v>
      </c>
      <c r="E12" s="152"/>
      <c r="F12" s="150" t="s">
        <v>106</v>
      </c>
      <c r="G12" s="150"/>
      <c r="H12" s="150"/>
      <c r="I12" s="150" t="s">
        <v>106</v>
      </c>
      <c r="J12" s="150"/>
      <c r="K12" s="150" t="s">
        <v>106</v>
      </c>
      <c r="L12" s="150"/>
      <c r="M12" s="150" t="s">
        <v>106</v>
      </c>
      <c r="N12" s="121"/>
      <c r="O12" s="121"/>
    </row>
    <row r="13" customFormat="false" ht="15.75" hidden="false" customHeight="true" outlineLevel="0" collapsed="false">
      <c r="A13" s="151"/>
      <c r="B13" s="147"/>
      <c r="C13" s="148"/>
      <c r="D13" s="80" t="s">
        <v>280</v>
      </c>
      <c r="E13" s="152"/>
      <c r="F13" s="150"/>
      <c r="G13" s="150" t="s">
        <v>106</v>
      </c>
      <c r="H13" s="150"/>
      <c r="I13" s="150"/>
      <c r="J13" s="150"/>
      <c r="K13" s="150" t="s">
        <v>106</v>
      </c>
      <c r="L13" s="150"/>
      <c r="M13" s="150"/>
      <c r="N13" s="121"/>
      <c r="O13" s="121"/>
    </row>
    <row r="14" customFormat="false" ht="15.75" hidden="false" customHeight="true" outlineLevel="0" collapsed="false">
      <c r="A14" s="151"/>
      <c r="B14" s="147"/>
      <c r="C14" s="148"/>
      <c r="D14" s="80" t="s">
        <v>281</v>
      </c>
      <c r="E14" s="154"/>
      <c r="F14" s="150"/>
      <c r="G14" s="150"/>
      <c r="H14" s="150" t="s">
        <v>106</v>
      </c>
      <c r="I14" s="150"/>
      <c r="J14" s="150"/>
      <c r="K14" s="150"/>
      <c r="L14" s="150"/>
      <c r="M14" s="150"/>
      <c r="N14" s="121"/>
      <c r="O14" s="121"/>
    </row>
    <row r="15" customFormat="false" ht="15.75" hidden="false" customHeight="true" outlineLevel="0" collapsed="false">
      <c r="A15" s="161"/>
      <c r="B15" s="88"/>
      <c r="C15" s="158"/>
      <c r="D15" s="159" t="s">
        <v>282</v>
      </c>
      <c r="E15" s="185"/>
      <c r="F15" s="157"/>
      <c r="G15" s="157"/>
      <c r="H15" s="157"/>
      <c r="I15" s="157"/>
      <c r="J15" s="157" t="s">
        <v>106</v>
      </c>
      <c r="K15" s="157"/>
      <c r="L15" s="157" t="s">
        <v>106</v>
      </c>
      <c r="M15" s="157"/>
      <c r="N15" s="121"/>
      <c r="O15" s="121"/>
    </row>
    <row r="16" customFormat="false" ht="15.75" hidden="false" customHeight="true" outlineLevel="0" collapsed="false">
      <c r="A16" s="161"/>
      <c r="B16" s="88"/>
      <c r="C16" s="158"/>
      <c r="D16" s="159" t="s">
        <v>283</v>
      </c>
      <c r="E16" s="185"/>
      <c r="F16" s="157"/>
      <c r="G16" s="157"/>
      <c r="H16" s="157"/>
      <c r="I16" s="157"/>
      <c r="J16" s="157" t="s">
        <v>106</v>
      </c>
      <c r="K16" s="157"/>
      <c r="L16" s="157" t="s">
        <v>106</v>
      </c>
      <c r="M16" s="157"/>
      <c r="N16" s="121"/>
      <c r="O16" s="121"/>
    </row>
    <row r="17" customFormat="false" ht="15.75" hidden="false" customHeight="true" outlineLevel="0" collapsed="false">
      <c r="A17" s="87" t="s">
        <v>111</v>
      </c>
      <c r="B17" s="88" t="s">
        <v>112</v>
      </c>
      <c r="C17" s="158"/>
      <c r="D17" s="159"/>
      <c r="E17" s="160"/>
      <c r="F17" s="157"/>
      <c r="G17" s="157"/>
      <c r="H17" s="157"/>
      <c r="I17" s="157"/>
      <c r="J17" s="157"/>
      <c r="K17" s="157"/>
      <c r="L17" s="157"/>
      <c r="M17" s="157"/>
      <c r="N17" s="121"/>
      <c r="O17" s="121"/>
    </row>
    <row r="18" customFormat="false" ht="15.75" hidden="false" customHeight="true" outlineLevel="0" collapsed="false">
      <c r="A18" s="161"/>
      <c r="B18" s="97"/>
      <c r="C18" s="162"/>
      <c r="D18" s="99" t="s">
        <v>284</v>
      </c>
      <c r="E18" s="163"/>
      <c r="F18" s="150" t="s">
        <v>106</v>
      </c>
      <c r="G18" s="150" t="s">
        <v>106</v>
      </c>
      <c r="H18" s="150" t="s">
        <v>106</v>
      </c>
      <c r="I18" s="150" t="s">
        <v>106</v>
      </c>
      <c r="J18" s="150" t="s">
        <v>106</v>
      </c>
      <c r="K18" s="150" t="s">
        <v>106</v>
      </c>
      <c r="L18" s="150" t="s">
        <v>106</v>
      </c>
      <c r="M18" s="150" t="s">
        <v>106</v>
      </c>
      <c r="N18" s="121"/>
      <c r="O18" s="121"/>
    </row>
    <row r="19" customFormat="false" ht="15.75" hidden="false" customHeight="true" outlineLevel="0" collapsed="false">
      <c r="A19" s="161"/>
      <c r="B19" s="97"/>
      <c r="C19" s="56"/>
      <c r="D19" s="99" t="s">
        <v>285</v>
      </c>
      <c r="E19" s="164"/>
      <c r="F19" s="150" t="s">
        <v>106</v>
      </c>
      <c r="G19" s="150" t="s">
        <v>106</v>
      </c>
      <c r="H19" s="150" t="s">
        <v>106</v>
      </c>
      <c r="I19" s="150" t="s">
        <v>106</v>
      </c>
      <c r="J19" s="150" t="s">
        <v>106</v>
      </c>
      <c r="K19" s="150" t="s">
        <v>106</v>
      </c>
      <c r="L19" s="150" t="s">
        <v>106</v>
      </c>
      <c r="M19" s="150"/>
      <c r="N19" s="121"/>
      <c r="O19" s="121"/>
    </row>
    <row r="20" customFormat="false" ht="15.75" hidden="false" customHeight="true" outlineLevel="0" collapsed="false">
      <c r="A20" s="161"/>
      <c r="B20" s="97"/>
      <c r="C20" s="56"/>
      <c r="D20" s="99" t="s">
        <v>286</v>
      </c>
      <c r="E20" s="164"/>
      <c r="F20" s="150" t="s">
        <v>106</v>
      </c>
      <c r="G20" s="150"/>
      <c r="H20" s="150"/>
      <c r="I20" s="150" t="s">
        <v>106</v>
      </c>
      <c r="J20" s="150" t="s">
        <v>106</v>
      </c>
      <c r="K20" s="150" t="s">
        <v>106</v>
      </c>
      <c r="L20" s="150"/>
      <c r="M20" s="150" t="s">
        <v>106</v>
      </c>
      <c r="N20" s="121"/>
      <c r="O20" s="121"/>
    </row>
    <row r="21" customFormat="false" ht="15.75" hidden="false" customHeight="true" outlineLevel="0" collapsed="false">
      <c r="A21" s="161"/>
      <c r="B21" s="97" t="s">
        <v>116</v>
      </c>
      <c r="C21" s="56"/>
      <c r="D21" s="99"/>
      <c r="E21" s="164"/>
      <c r="F21" s="150"/>
      <c r="G21" s="150"/>
      <c r="H21" s="150"/>
      <c r="I21" s="150"/>
      <c r="J21" s="150"/>
      <c r="K21" s="150"/>
      <c r="L21" s="150"/>
      <c r="M21" s="150"/>
      <c r="N21" s="121"/>
      <c r="O21" s="121"/>
    </row>
    <row r="22" customFormat="false" ht="15.75" hidden="false" customHeight="true" outlineLevel="0" collapsed="false">
      <c r="A22" s="161"/>
      <c r="B22" s="97"/>
      <c r="C22" s="56"/>
      <c r="D22" s="99" t="s">
        <v>287</v>
      </c>
      <c r="E22" s="164"/>
      <c r="F22" s="150" t="s">
        <v>106</v>
      </c>
      <c r="G22" s="150"/>
      <c r="H22" s="150"/>
      <c r="I22" s="150"/>
      <c r="J22" s="150"/>
      <c r="K22" s="150" t="s">
        <v>106</v>
      </c>
      <c r="L22" s="150"/>
      <c r="M22" s="150" t="s">
        <v>106</v>
      </c>
      <c r="N22" s="121"/>
      <c r="O22" s="121"/>
    </row>
    <row r="23" customFormat="false" ht="15.75" hidden="false" customHeight="true" outlineLevel="0" collapsed="false">
      <c r="A23" s="161"/>
      <c r="B23" s="97"/>
      <c r="C23" s="56"/>
      <c r="D23" s="99" t="s">
        <v>288</v>
      </c>
      <c r="E23" s="164"/>
      <c r="F23" s="150"/>
      <c r="G23" s="150" t="s">
        <v>106</v>
      </c>
      <c r="H23" s="150" t="s">
        <v>106</v>
      </c>
      <c r="I23" s="150" t="s">
        <v>106</v>
      </c>
      <c r="J23" s="150"/>
      <c r="K23" s="150" t="s">
        <v>106</v>
      </c>
      <c r="L23" s="150" t="s">
        <v>106</v>
      </c>
      <c r="M23" s="150"/>
      <c r="N23" s="121"/>
      <c r="O23" s="121"/>
    </row>
    <row r="24" customFormat="false" ht="15.75" hidden="false" customHeight="true" outlineLevel="0" collapsed="false">
      <c r="A24" s="161"/>
      <c r="B24" s="97"/>
      <c r="C24" s="56"/>
      <c r="D24" s="99" t="s">
        <v>289</v>
      </c>
      <c r="E24" s="164"/>
      <c r="F24" s="150"/>
      <c r="G24" s="150"/>
      <c r="H24" s="150"/>
      <c r="I24" s="150"/>
      <c r="J24" s="150" t="s">
        <v>106</v>
      </c>
      <c r="K24" s="150"/>
      <c r="L24" s="150" t="s">
        <v>106</v>
      </c>
      <c r="M24" s="150"/>
      <c r="N24" s="121"/>
      <c r="O24" s="121"/>
    </row>
    <row r="25" customFormat="false" ht="15.75" hidden="false" customHeight="true" outlineLevel="0" collapsed="false">
      <c r="A25" s="87" t="s">
        <v>120</v>
      </c>
      <c r="B25" s="173" t="s">
        <v>121</v>
      </c>
      <c r="C25" s="173"/>
      <c r="D25" s="173"/>
      <c r="E25" s="173"/>
      <c r="F25" s="174" t="s">
        <v>122</v>
      </c>
      <c r="G25" s="174" t="s">
        <v>66</v>
      </c>
      <c r="H25" s="174" t="s">
        <v>66</v>
      </c>
      <c r="I25" s="174" t="s">
        <v>122</v>
      </c>
      <c r="J25" s="174" t="s">
        <v>66</v>
      </c>
      <c r="K25" s="174" t="s">
        <v>150</v>
      </c>
      <c r="L25" s="174" t="s">
        <v>66</v>
      </c>
      <c r="M25" s="174" t="s">
        <v>122</v>
      </c>
      <c r="N25" s="121"/>
      <c r="O25" s="121"/>
    </row>
    <row r="26" customFormat="false" ht="15.75" hidden="false" customHeight="true" outlineLevel="0" collapsed="false">
      <c r="A26" s="161"/>
      <c r="B26" s="175" t="s">
        <v>123</v>
      </c>
      <c r="C26" s="175"/>
      <c r="D26" s="175"/>
      <c r="E26" s="176"/>
      <c r="F26" s="177" t="s">
        <v>124</v>
      </c>
      <c r="G26" s="177" t="s">
        <v>124</v>
      </c>
      <c r="H26" s="177" t="s">
        <v>124</v>
      </c>
      <c r="I26" s="177" t="s">
        <v>124</v>
      </c>
      <c r="J26" s="177" t="s">
        <v>124</v>
      </c>
      <c r="K26" s="177" t="s">
        <v>124</v>
      </c>
      <c r="L26" s="177" t="s">
        <v>124</v>
      </c>
      <c r="M26" s="177" t="s">
        <v>124</v>
      </c>
      <c r="N26" s="121"/>
      <c r="O26" s="121"/>
    </row>
    <row r="27" customFormat="false" ht="60" hidden="false" customHeight="true" outlineLevel="0" collapsed="false">
      <c r="A27" s="161"/>
      <c r="B27" s="178" t="s">
        <v>125</v>
      </c>
      <c r="C27" s="178"/>
      <c r="D27" s="178"/>
      <c r="E27" s="112"/>
      <c r="F27" s="179" t="n">
        <v>46063</v>
      </c>
      <c r="G27" s="179" t="n">
        <v>46063</v>
      </c>
      <c r="H27" s="179" t="n">
        <v>46063</v>
      </c>
      <c r="I27" s="179" t="n">
        <v>46063</v>
      </c>
      <c r="J27" s="179" t="n">
        <v>46063</v>
      </c>
      <c r="K27" s="179" t="n">
        <v>46063</v>
      </c>
      <c r="L27" s="179" t="n">
        <v>46063</v>
      </c>
      <c r="M27" s="179" t="n">
        <v>46063</v>
      </c>
      <c r="N27" s="121"/>
      <c r="O27" s="121"/>
    </row>
    <row r="28" customFormat="false" ht="79.5" hidden="false" customHeight="true" outlineLevel="0" collapsed="false">
      <c r="A28" s="180"/>
      <c r="B28" s="181" t="s">
        <v>126</v>
      </c>
      <c r="C28" s="181"/>
      <c r="D28" s="181"/>
      <c r="E28" s="182"/>
      <c r="F28" s="183" t="s">
        <v>127</v>
      </c>
      <c r="G28" s="183" t="s">
        <v>128</v>
      </c>
      <c r="H28" s="183" t="s">
        <v>129</v>
      </c>
      <c r="I28" s="183" t="s">
        <v>130</v>
      </c>
      <c r="J28" s="183" t="s">
        <v>131</v>
      </c>
      <c r="K28" s="183" t="s">
        <v>132</v>
      </c>
      <c r="L28" s="183" t="s">
        <v>133</v>
      </c>
      <c r="M28" s="183" t="s">
        <v>191</v>
      </c>
      <c r="N28" s="121"/>
      <c r="O28" s="121"/>
    </row>
    <row r="29" customFormat="false" ht="12" hidden="false" customHeight="true" outlineLevel="0" collapsed="false">
      <c r="A29" s="122"/>
      <c r="B29" s="121"/>
      <c r="C29" s="140"/>
      <c r="D29" s="121"/>
      <c r="E29" s="121"/>
      <c r="F29" s="121"/>
      <c r="G29" s="121"/>
      <c r="H29" s="121"/>
      <c r="I29" s="121"/>
      <c r="J29" s="121"/>
      <c r="K29" s="121"/>
      <c r="L29" s="121"/>
      <c r="M29" s="121"/>
      <c r="N29" s="121"/>
      <c r="O29" s="121"/>
      <c r="P29" s="121"/>
      <c r="Q29" s="121"/>
      <c r="R29" s="121"/>
      <c r="S29" s="121"/>
      <c r="T29" s="121"/>
      <c r="U29" s="121"/>
      <c r="V29" s="121"/>
      <c r="W29" s="121"/>
      <c r="X29" s="121"/>
    </row>
    <row r="30" customFormat="false" ht="13.5" hidden="false" customHeight="true" outlineLevel="0" collapsed="false">
      <c r="A30" s="121"/>
      <c r="B30" s="122"/>
      <c r="C30" s="121"/>
      <c r="D30" s="140"/>
      <c r="E30" s="121"/>
      <c r="F30" s="121"/>
      <c r="G30" s="121"/>
      <c r="H30" s="121"/>
      <c r="I30" s="121"/>
      <c r="J30" s="121"/>
      <c r="K30" s="121"/>
      <c r="L30" s="121"/>
      <c r="M30" s="121"/>
      <c r="N30" s="121"/>
      <c r="O30" s="121"/>
      <c r="P30" s="121"/>
      <c r="Q30" s="121"/>
      <c r="R30" s="121"/>
      <c r="S30" s="121"/>
      <c r="T30" s="121"/>
      <c r="U30" s="121"/>
      <c r="V30" s="121"/>
      <c r="W30" s="121"/>
      <c r="X30" s="121"/>
      <c r="Y30" s="121"/>
      <c r="Z30" s="121"/>
    </row>
    <row r="31" customFormat="false" ht="13.5" hidden="false" customHeight="true" outlineLevel="0" collapsed="false">
      <c r="A31" s="121"/>
      <c r="B31" s="122"/>
      <c r="C31" s="121"/>
      <c r="D31" s="140"/>
      <c r="E31" s="121"/>
      <c r="F31" s="121"/>
      <c r="G31" s="121"/>
      <c r="H31" s="121"/>
      <c r="I31" s="121"/>
      <c r="J31" s="121"/>
      <c r="K31" s="121"/>
      <c r="L31" s="121"/>
      <c r="M31" s="121"/>
      <c r="N31" s="121"/>
      <c r="O31" s="121"/>
      <c r="P31" s="121"/>
      <c r="Q31" s="121"/>
      <c r="R31" s="121"/>
      <c r="S31" s="121"/>
      <c r="T31" s="121"/>
      <c r="U31" s="121"/>
      <c r="V31" s="121"/>
      <c r="W31" s="121"/>
      <c r="X31" s="121"/>
      <c r="Y31" s="121"/>
      <c r="Z31" s="121"/>
    </row>
    <row r="32" customFormat="false" ht="13.5" hidden="false" customHeight="true" outlineLevel="0" collapsed="false">
      <c r="A32" s="121"/>
      <c r="B32" s="122"/>
      <c r="C32" s="121"/>
      <c r="D32" s="140"/>
      <c r="E32" s="121"/>
      <c r="F32" s="121"/>
      <c r="G32" s="121"/>
      <c r="H32" s="121"/>
      <c r="I32" s="121"/>
      <c r="J32" s="121"/>
      <c r="K32" s="121"/>
      <c r="L32" s="121"/>
      <c r="M32" s="121"/>
      <c r="N32" s="121"/>
      <c r="O32" s="121"/>
      <c r="P32" s="121"/>
      <c r="Q32" s="121"/>
      <c r="R32" s="121"/>
      <c r="S32" s="121"/>
      <c r="T32" s="121"/>
      <c r="U32" s="121"/>
      <c r="V32" s="121"/>
      <c r="W32" s="121"/>
      <c r="X32" s="121"/>
      <c r="Y32" s="121"/>
      <c r="Z32" s="121"/>
    </row>
    <row r="33" customFormat="false" ht="13.5" hidden="false" customHeight="true" outlineLevel="0" collapsed="false">
      <c r="A33" s="121"/>
      <c r="B33" s="122"/>
      <c r="C33" s="121"/>
      <c r="D33" s="140"/>
      <c r="E33" s="121"/>
      <c r="F33" s="121"/>
      <c r="G33" s="121"/>
      <c r="H33" s="121"/>
      <c r="I33" s="121"/>
      <c r="J33" s="121"/>
      <c r="K33" s="121"/>
      <c r="L33" s="121"/>
      <c r="M33" s="121"/>
      <c r="N33" s="121"/>
      <c r="O33" s="121"/>
      <c r="P33" s="121"/>
      <c r="Q33" s="121"/>
      <c r="R33" s="121"/>
      <c r="S33" s="121"/>
      <c r="T33" s="121"/>
      <c r="U33" s="121"/>
      <c r="V33" s="121"/>
      <c r="W33" s="121"/>
      <c r="X33" s="121"/>
      <c r="Y33" s="121"/>
      <c r="Z33" s="121"/>
    </row>
    <row r="34" customFormat="false" ht="13.5" hidden="false" customHeight="true" outlineLevel="0" collapsed="false">
      <c r="A34" s="121"/>
      <c r="B34" s="122"/>
      <c r="C34" s="121"/>
      <c r="D34" s="140"/>
      <c r="E34" s="121"/>
      <c r="F34" s="121"/>
      <c r="G34" s="121"/>
      <c r="H34" s="121"/>
      <c r="I34" s="121"/>
      <c r="J34" s="121"/>
      <c r="K34" s="121"/>
      <c r="L34" s="121"/>
      <c r="M34" s="121"/>
      <c r="N34" s="121"/>
      <c r="O34" s="121"/>
      <c r="P34" s="121"/>
      <c r="Q34" s="121"/>
      <c r="R34" s="121"/>
      <c r="S34" s="121"/>
      <c r="T34" s="121"/>
      <c r="U34" s="121"/>
      <c r="V34" s="121"/>
      <c r="W34" s="121"/>
      <c r="X34" s="121"/>
      <c r="Y34" s="121"/>
      <c r="Z34" s="121"/>
    </row>
    <row r="35" customFormat="false" ht="13.5" hidden="false" customHeight="true" outlineLevel="0" collapsed="false">
      <c r="A35" s="121"/>
      <c r="B35" s="122"/>
      <c r="C35" s="121"/>
      <c r="D35" s="140"/>
      <c r="E35" s="121"/>
      <c r="F35" s="121"/>
      <c r="G35" s="121"/>
      <c r="H35" s="121"/>
      <c r="I35" s="121"/>
      <c r="J35" s="121"/>
      <c r="K35" s="121"/>
      <c r="L35" s="121"/>
      <c r="M35" s="121"/>
      <c r="N35" s="121"/>
      <c r="O35" s="121"/>
      <c r="P35" s="121"/>
      <c r="Q35" s="121"/>
      <c r="R35" s="121"/>
      <c r="S35" s="121"/>
      <c r="T35" s="121"/>
      <c r="U35" s="121"/>
      <c r="V35" s="121"/>
      <c r="W35" s="121"/>
      <c r="X35" s="121"/>
      <c r="Y35" s="121"/>
      <c r="Z35" s="121"/>
    </row>
    <row r="36" customFormat="false" ht="13.5" hidden="false" customHeight="true" outlineLevel="0" collapsed="false">
      <c r="A36" s="121"/>
      <c r="B36" s="122"/>
      <c r="C36" s="121"/>
      <c r="D36" s="140"/>
      <c r="E36" s="121"/>
      <c r="F36" s="121"/>
      <c r="G36" s="121"/>
      <c r="H36" s="121"/>
      <c r="I36" s="121"/>
      <c r="J36" s="121"/>
      <c r="K36" s="121"/>
      <c r="L36" s="121"/>
      <c r="M36" s="121"/>
      <c r="N36" s="121"/>
      <c r="O36" s="121"/>
      <c r="P36" s="121"/>
      <c r="Q36" s="121"/>
      <c r="R36" s="121"/>
      <c r="S36" s="121"/>
      <c r="T36" s="121"/>
      <c r="U36" s="121"/>
      <c r="V36" s="121"/>
      <c r="W36" s="121"/>
      <c r="X36" s="121"/>
      <c r="Y36" s="121"/>
      <c r="Z36" s="121"/>
    </row>
    <row r="37" customFormat="false" ht="13.5" hidden="false" customHeight="true" outlineLevel="0" collapsed="false">
      <c r="A37" s="121"/>
      <c r="B37" s="122"/>
      <c r="C37" s="121"/>
      <c r="D37" s="140"/>
      <c r="E37" s="121"/>
      <c r="F37" s="121"/>
      <c r="G37" s="121"/>
      <c r="H37" s="121"/>
      <c r="I37" s="121"/>
      <c r="J37" s="121"/>
      <c r="K37" s="121"/>
      <c r="L37" s="121"/>
      <c r="M37" s="121"/>
      <c r="N37" s="121"/>
      <c r="O37" s="121"/>
      <c r="P37" s="121"/>
      <c r="Q37" s="121"/>
      <c r="R37" s="121"/>
      <c r="S37" s="121"/>
      <c r="T37" s="121"/>
      <c r="U37" s="121"/>
      <c r="V37" s="121"/>
      <c r="W37" s="121"/>
      <c r="X37" s="121"/>
      <c r="Y37" s="121"/>
      <c r="Z37" s="121"/>
    </row>
    <row r="38" customFormat="false" ht="13.5" hidden="false" customHeight="true" outlineLevel="0" collapsed="false">
      <c r="A38" s="121"/>
      <c r="B38" s="122"/>
      <c r="C38" s="121"/>
      <c r="D38" s="140"/>
      <c r="E38" s="121"/>
      <c r="F38" s="121"/>
      <c r="G38" s="121"/>
      <c r="H38" s="121"/>
      <c r="I38" s="121"/>
      <c r="J38" s="121"/>
      <c r="K38" s="121"/>
      <c r="L38" s="121"/>
      <c r="M38" s="121"/>
      <c r="N38" s="121"/>
      <c r="O38" s="121"/>
      <c r="P38" s="121"/>
      <c r="Q38" s="121"/>
      <c r="R38" s="121"/>
      <c r="S38" s="121"/>
      <c r="T38" s="121"/>
      <c r="U38" s="121"/>
      <c r="V38" s="121"/>
      <c r="W38" s="121"/>
      <c r="X38" s="121"/>
      <c r="Y38" s="121"/>
      <c r="Z38" s="121"/>
    </row>
    <row r="39" customFormat="false" ht="13.5" hidden="false" customHeight="true" outlineLevel="0" collapsed="false">
      <c r="A39" s="121"/>
      <c r="B39" s="122"/>
      <c r="C39" s="121"/>
      <c r="D39" s="140"/>
      <c r="E39" s="121"/>
      <c r="F39" s="121"/>
      <c r="G39" s="121"/>
      <c r="H39" s="121"/>
      <c r="I39" s="121"/>
      <c r="J39" s="121"/>
      <c r="K39" s="121"/>
      <c r="L39" s="121"/>
      <c r="M39" s="121"/>
      <c r="N39" s="121"/>
      <c r="O39" s="121"/>
      <c r="P39" s="121"/>
      <c r="Q39" s="121"/>
      <c r="R39" s="121"/>
      <c r="S39" s="121"/>
      <c r="T39" s="121"/>
      <c r="U39" s="121"/>
      <c r="V39" s="121"/>
      <c r="W39" s="121"/>
      <c r="X39" s="121"/>
      <c r="Y39" s="121"/>
      <c r="Z39" s="121"/>
    </row>
    <row r="40" customFormat="false" ht="13.5" hidden="false" customHeight="true" outlineLevel="0" collapsed="false">
      <c r="A40" s="121"/>
      <c r="B40" s="122"/>
      <c r="C40" s="121"/>
      <c r="D40" s="140"/>
      <c r="E40" s="121"/>
      <c r="F40" s="121"/>
      <c r="G40" s="121"/>
      <c r="H40" s="121"/>
      <c r="I40" s="121"/>
      <c r="J40" s="121"/>
      <c r="K40" s="121"/>
      <c r="L40" s="121"/>
      <c r="M40" s="121"/>
      <c r="N40" s="121"/>
      <c r="O40" s="121"/>
      <c r="P40" s="121"/>
      <c r="Q40" s="121"/>
      <c r="R40" s="121"/>
      <c r="S40" s="121"/>
      <c r="T40" s="121"/>
      <c r="U40" s="121"/>
      <c r="V40" s="121"/>
      <c r="W40" s="121"/>
      <c r="X40" s="121"/>
      <c r="Y40" s="121"/>
      <c r="Z40" s="121"/>
    </row>
    <row r="41" customFormat="false" ht="13.5" hidden="false" customHeight="true" outlineLevel="0" collapsed="false">
      <c r="A41" s="121"/>
      <c r="B41" s="122"/>
      <c r="C41" s="121"/>
      <c r="D41" s="140"/>
      <c r="E41" s="121"/>
      <c r="F41" s="121"/>
      <c r="G41" s="121"/>
      <c r="H41" s="121"/>
      <c r="I41" s="121"/>
      <c r="J41" s="121"/>
      <c r="K41" s="121"/>
      <c r="L41" s="121"/>
      <c r="M41" s="121"/>
      <c r="N41" s="121"/>
      <c r="O41" s="121"/>
      <c r="P41" s="121"/>
      <c r="Q41" s="121"/>
      <c r="R41" s="121"/>
      <c r="S41" s="121"/>
      <c r="T41" s="121"/>
      <c r="U41" s="121"/>
      <c r="V41" s="121"/>
      <c r="W41" s="121"/>
      <c r="X41" s="121"/>
      <c r="Y41" s="121"/>
      <c r="Z41" s="121"/>
    </row>
    <row r="42" customFormat="false" ht="13.5" hidden="false" customHeight="true" outlineLevel="0" collapsed="false">
      <c r="A42" s="121"/>
      <c r="B42" s="122"/>
      <c r="C42" s="121"/>
      <c r="D42" s="140"/>
      <c r="E42" s="121"/>
      <c r="F42" s="121"/>
      <c r="G42" s="121"/>
      <c r="H42" s="121"/>
      <c r="I42" s="121"/>
      <c r="J42" s="121"/>
      <c r="K42" s="121"/>
      <c r="L42" s="121"/>
      <c r="M42" s="121"/>
      <c r="N42" s="121"/>
      <c r="O42" s="121"/>
      <c r="P42" s="121"/>
      <c r="Q42" s="121"/>
      <c r="R42" s="121"/>
      <c r="S42" s="121"/>
      <c r="T42" s="121"/>
      <c r="U42" s="121"/>
      <c r="V42" s="121"/>
      <c r="W42" s="121"/>
      <c r="X42" s="121"/>
      <c r="Y42" s="121"/>
      <c r="Z42" s="121"/>
    </row>
    <row r="43" customFormat="false" ht="13.5" hidden="false" customHeight="true" outlineLevel="0" collapsed="false">
      <c r="A43" s="121"/>
      <c r="B43" s="122"/>
      <c r="C43" s="121"/>
      <c r="D43" s="140"/>
      <c r="E43" s="121"/>
      <c r="F43" s="121"/>
      <c r="G43" s="121"/>
      <c r="H43" s="121"/>
      <c r="I43" s="121"/>
      <c r="J43" s="121"/>
      <c r="K43" s="121"/>
      <c r="L43" s="121"/>
      <c r="M43" s="121"/>
      <c r="N43" s="121"/>
      <c r="O43" s="121"/>
      <c r="P43" s="121"/>
      <c r="Q43" s="121"/>
      <c r="R43" s="121"/>
      <c r="S43" s="121"/>
      <c r="T43" s="121"/>
      <c r="U43" s="121"/>
      <c r="V43" s="121"/>
      <c r="W43" s="121"/>
      <c r="X43" s="121"/>
      <c r="Y43" s="121"/>
      <c r="Z43" s="121"/>
    </row>
    <row r="44" customFormat="false" ht="13.5" hidden="false" customHeight="true" outlineLevel="0" collapsed="false">
      <c r="A44" s="121"/>
      <c r="B44" s="122"/>
      <c r="C44" s="121"/>
      <c r="D44" s="140"/>
      <c r="E44" s="121"/>
      <c r="F44" s="121"/>
      <c r="G44" s="121"/>
      <c r="H44" s="121"/>
      <c r="I44" s="121"/>
      <c r="J44" s="121"/>
      <c r="K44" s="121"/>
      <c r="L44" s="121"/>
      <c r="M44" s="121"/>
      <c r="N44" s="121"/>
      <c r="O44" s="121"/>
      <c r="P44" s="121"/>
      <c r="Q44" s="121"/>
      <c r="R44" s="121"/>
      <c r="S44" s="121"/>
      <c r="T44" s="121"/>
      <c r="U44" s="121"/>
      <c r="V44" s="121"/>
      <c r="W44" s="121"/>
      <c r="X44" s="121"/>
      <c r="Y44" s="121"/>
      <c r="Z44" s="121"/>
    </row>
    <row r="45" customFormat="false" ht="13.5" hidden="false" customHeight="true" outlineLevel="0" collapsed="false">
      <c r="A45" s="121"/>
      <c r="B45" s="122"/>
      <c r="C45" s="121"/>
      <c r="D45" s="140"/>
      <c r="E45" s="121"/>
      <c r="F45" s="121"/>
      <c r="G45" s="121"/>
      <c r="H45" s="121"/>
      <c r="I45" s="121"/>
      <c r="J45" s="121"/>
      <c r="K45" s="121"/>
      <c r="L45" s="121"/>
      <c r="M45" s="121"/>
      <c r="N45" s="121"/>
      <c r="O45" s="121"/>
      <c r="P45" s="121"/>
      <c r="Q45" s="121"/>
      <c r="R45" s="121"/>
      <c r="S45" s="121"/>
      <c r="T45" s="121"/>
      <c r="U45" s="121"/>
      <c r="V45" s="121"/>
      <c r="W45" s="121"/>
      <c r="X45" s="121"/>
      <c r="Y45" s="121"/>
      <c r="Z45" s="121"/>
    </row>
    <row r="46" customFormat="false" ht="13.5" hidden="false" customHeight="true" outlineLevel="0" collapsed="false">
      <c r="A46" s="121"/>
      <c r="B46" s="122"/>
      <c r="C46" s="121"/>
      <c r="D46" s="140"/>
      <c r="E46" s="121"/>
      <c r="F46" s="121"/>
      <c r="G46" s="121"/>
      <c r="H46" s="121"/>
      <c r="I46" s="121"/>
      <c r="J46" s="121"/>
      <c r="K46" s="121"/>
      <c r="L46" s="121"/>
      <c r="M46" s="121"/>
      <c r="N46" s="121"/>
      <c r="O46" s="121"/>
      <c r="P46" s="121"/>
      <c r="Q46" s="121"/>
      <c r="R46" s="121"/>
      <c r="S46" s="121"/>
      <c r="T46" s="121"/>
      <c r="U46" s="121"/>
      <c r="V46" s="121"/>
      <c r="W46" s="121"/>
      <c r="X46" s="121"/>
      <c r="Y46" s="121"/>
      <c r="Z46" s="121"/>
    </row>
    <row r="47" customFormat="false" ht="13.5" hidden="false" customHeight="true" outlineLevel="0" collapsed="false">
      <c r="A47" s="121"/>
      <c r="B47" s="122"/>
      <c r="C47" s="121"/>
      <c r="D47" s="140"/>
      <c r="E47" s="121"/>
      <c r="F47" s="121"/>
      <c r="G47" s="121"/>
      <c r="H47" s="121"/>
      <c r="I47" s="121"/>
      <c r="J47" s="121"/>
      <c r="K47" s="121"/>
      <c r="L47" s="121"/>
      <c r="M47" s="121"/>
      <c r="N47" s="121"/>
      <c r="O47" s="121"/>
      <c r="P47" s="121"/>
      <c r="Q47" s="121"/>
      <c r="R47" s="121"/>
      <c r="S47" s="121"/>
      <c r="T47" s="121"/>
      <c r="U47" s="121"/>
      <c r="V47" s="121"/>
      <c r="W47" s="121"/>
      <c r="X47" s="121"/>
      <c r="Y47" s="121"/>
      <c r="Z47" s="121"/>
    </row>
    <row r="48" customFormat="false" ht="13.5" hidden="false" customHeight="true" outlineLevel="0" collapsed="false">
      <c r="A48" s="121"/>
      <c r="B48" s="122"/>
      <c r="C48" s="121"/>
      <c r="D48" s="140"/>
      <c r="E48" s="121"/>
      <c r="F48" s="121"/>
      <c r="G48" s="121"/>
      <c r="H48" s="121"/>
      <c r="I48" s="121"/>
      <c r="J48" s="121"/>
      <c r="K48" s="121"/>
      <c r="L48" s="121"/>
      <c r="M48" s="121"/>
      <c r="N48" s="121"/>
      <c r="O48" s="121"/>
      <c r="P48" s="121"/>
      <c r="Q48" s="121"/>
      <c r="R48" s="121"/>
      <c r="S48" s="121"/>
      <c r="T48" s="121"/>
      <c r="U48" s="121"/>
      <c r="V48" s="121"/>
      <c r="W48" s="121"/>
      <c r="X48" s="121"/>
      <c r="Y48" s="121"/>
      <c r="Z48" s="121"/>
    </row>
    <row r="49" customFormat="false" ht="13.5" hidden="false" customHeight="true" outlineLevel="0" collapsed="false">
      <c r="A49" s="121"/>
      <c r="B49" s="122"/>
      <c r="C49" s="121"/>
      <c r="D49" s="140"/>
      <c r="E49" s="121"/>
      <c r="F49" s="121"/>
      <c r="G49" s="121"/>
      <c r="H49" s="121"/>
      <c r="I49" s="121"/>
      <c r="J49" s="121"/>
      <c r="K49" s="121"/>
      <c r="L49" s="121"/>
      <c r="M49" s="121"/>
      <c r="N49" s="121"/>
      <c r="O49" s="121"/>
      <c r="P49" s="121"/>
      <c r="Q49" s="121"/>
      <c r="R49" s="121"/>
      <c r="S49" s="121"/>
      <c r="T49" s="121"/>
      <c r="U49" s="121"/>
      <c r="V49" s="121"/>
      <c r="W49" s="121"/>
      <c r="X49" s="121"/>
      <c r="Y49" s="121"/>
      <c r="Z49" s="121"/>
    </row>
    <row r="50" customFormat="false" ht="13.5" hidden="false" customHeight="true" outlineLevel="0" collapsed="false">
      <c r="A50" s="121"/>
      <c r="B50" s="122"/>
      <c r="C50" s="121"/>
      <c r="D50" s="140"/>
      <c r="E50" s="121"/>
      <c r="F50" s="121"/>
      <c r="G50" s="121"/>
      <c r="H50" s="121"/>
      <c r="I50" s="121"/>
      <c r="J50" s="121"/>
      <c r="K50" s="121"/>
      <c r="L50" s="121"/>
      <c r="M50" s="121"/>
      <c r="N50" s="121"/>
      <c r="O50" s="121"/>
      <c r="P50" s="121"/>
      <c r="Q50" s="121"/>
      <c r="R50" s="121"/>
      <c r="S50" s="121"/>
      <c r="T50" s="121"/>
      <c r="U50" s="121"/>
      <c r="V50" s="121"/>
      <c r="W50" s="121"/>
      <c r="X50" s="121"/>
      <c r="Y50" s="121"/>
      <c r="Z50" s="121"/>
    </row>
    <row r="51" customFormat="false" ht="13.5" hidden="false" customHeight="true" outlineLevel="0" collapsed="false">
      <c r="A51" s="121"/>
      <c r="B51" s="122"/>
      <c r="C51" s="121"/>
      <c r="D51" s="140"/>
      <c r="E51" s="121"/>
      <c r="F51" s="121"/>
      <c r="G51" s="121"/>
      <c r="H51" s="121"/>
      <c r="I51" s="121"/>
      <c r="J51" s="121"/>
      <c r="K51" s="121"/>
      <c r="L51" s="121"/>
      <c r="M51" s="121"/>
      <c r="N51" s="121"/>
      <c r="O51" s="121"/>
      <c r="P51" s="121"/>
      <c r="Q51" s="121"/>
      <c r="R51" s="121"/>
      <c r="S51" s="121"/>
      <c r="T51" s="121"/>
      <c r="U51" s="121"/>
      <c r="V51" s="121"/>
      <c r="W51" s="121"/>
      <c r="X51" s="121"/>
      <c r="Y51" s="121"/>
      <c r="Z51" s="121"/>
    </row>
    <row r="52" customFormat="false" ht="13.5" hidden="false" customHeight="true" outlineLevel="0" collapsed="false">
      <c r="A52" s="121"/>
      <c r="B52" s="122"/>
      <c r="C52" s="121"/>
      <c r="D52" s="140"/>
      <c r="E52" s="121"/>
      <c r="F52" s="121"/>
      <c r="G52" s="121"/>
      <c r="H52" s="121"/>
      <c r="I52" s="121"/>
      <c r="J52" s="121"/>
      <c r="K52" s="121"/>
      <c r="L52" s="121"/>
      <c r="M52" s="121"/>
      <c r="N52" s="121"/>
      <c r="O52" s="121"/>
      <c r="P52" s="121"/>
      <c r="Q52" s="121"/>
      <c r="R52" s="121"/>
      <c r="S52" s="121"/>
      <c r="T52" s="121"/>
      <c r="U52" s="121"/>
      <c r="V52" s="121"/>
      <c r="W52" s="121"/>
      <c r="X52" s="121"/>
      <c r="Y52" s="121"/>
      <c r="Z52" s="121"/>
    </row>
    <row r="53" customFormat="false" ht="13.5" hidden="false" customHeight="true" outlineLevel="0" collapsed="false">
      <c r="A53" s="121"/>
      <c r="B53" s="122"/>
      <c r="C53" s="121"/>
      <c r="D53" s="140"/>
      <c r="E53" s="121"/>
      <c r="F53" s="121"/>
      <c r="G53" s="121"/>
      <c r="H53" s="121"/>
      <c r="I53" s="121"/>
      <c r="J53" s="121"/>
      <c r="K53" s="121"/>
      <c r="L53" s="121"/>
      <c r="M53" s="121"/>
      <c r="N53" s="121"/>
      <c r="O53" s="121"/>
      <c r="P53" s="121"/>
      <c r="Q53" s="121"/>
      <c r="R53" s="121"/>
      <c r="S53" s="121"/>
      <c r="T53" s="121"/>
      <c r="U53" s="121"/>
      <c r="V53" s="121"/>
      <c r="W53" s="121"/>
      <c r="X53" s="121"/>
      <c r="Y53" s="121"/>
      <c r="Z53" s="121"/>
    </row>
    <row r="54" customFormat="false" ht="13.5" hidden="false" customHeight="true" outlineLevel="0" collapsed="false">
      <c r="A54" s="121"/>
      <c r="B54" s="122"/>
      <c r="C54" s="121"/>
      <c r="D54" s="140"/>
      <c r="E54" s="121"/>
      <c r="F54" s="121"/>
      <c r="G54" s="121"/>
      <c r="H54" s="121"/>
      <c r="I54" s="121"/>
      <c r="J54" s="121"/>
      <c r="K54" s="121"/>
      <c r="L54" s="121"/>
      <c r="M54" s="121"/>
      <c r="N54" s="121"/>
      <c r="O54" s="121"/>
      <c r="P54" s="121"/>
      <c r="Q54" s="121"/>
      <c r="R54" s="121"/>
      <c r="S54" s="121"/>
      <c r="T54" s="121"/>
      <c r="U54" s="121"/>
      <c r="V54" s="121"/>
      <c r="W54" s="121"/>
      <c r="X54" s="121"/>
      <c r="Y54" s="121"/>
      <c r="Z54" s="121"/>
    </row>
    <row r="55" customFormat="false" ht="13.5" hidden="false" customHeight="true" outlineLevel="0" collapsed="false">
      <c r="A55" s="121"/>
      <c r="B55" s="122"/>
      <c r="C55" s="121"/>
      <c r="D55" s="140"/>
      <c r="E55" s="121"/>
      <c r="F55" s="121"/>
      <c r="G55" s="121"/>
      <c r="H55" s="121"/>
      <c r="I55" s="121"/>
      <c r="J55" s="121"/>
      <c r="K55" s="121"/>
      <c r="L55" s="121"/>
      <c r="M55" s="121"/>
      <c r="N55" s="121"/>
      <c r="O55" s="121"/>
      <c r="P55" s="121"/>
      <c r="Q55" s="121"/>
      <c r="R55" s="121"/>
      <c r="S55" s="121"/>
      <c r="T55" s="121"/>
      <c r="U55" s="121"/>
      <c r="V55" s="121"/>
      <c r="W55" s="121"/>
      <c r="X55" s="121"/>
      <c r="Y55" s="121"/>
      <c r="Z55" s="121"/>
    </row>
    <row r="56" customFormat="false" ht="13.5" hidden="false" customHeight="true" outlineLevel="0" collapsed="false">
      <c r="A56" s="121"/>
      <c r="B56" s="122"/>
      <c r="C56" s="121"/>
      <c r="D56" s="140"/>
      <c r="E56" s="121"/>
      <c r="F56" s="121"/>
      <c r="G56" s="121"/>
      <c r="H56" s="121"/>
      <c r="I56" s="121"/>
      <c r="J56" s="121"/>
      <c r="K56" s="121"/>
      <c r="L56" s="121"/>
      <c r="M56" s="121"/>
      <c r="N56" s="121"/>
      <c r="O56" s="121"/>
      <c r="P56" s="121"/>
      <c r="Q56" s="121"/>
      <c r="R56" s="121"/>
      <c r="S56" s="121"/>
      <c r="T56" s="121"/>
      <c r="U56" s="121"/>
      <c r="V56" s="121"/>
      <c r="W56" s="121"/>
      <c r="X56" s="121"/>
      <c r="Y56" s="121"/>
      <c r="Z56" s="121"/>
    </row>
    <row r="57" customFormat="false" ht="13.5" hidden="false" customHeight="true" outlineLevel="0" collapsed="false">
      <c r="A57" s="121"/>
      <c r="B57" s="122"/>
      <c r="C57" s="121"/>
      <c r="D57" s="140"/>
      <c r="E57" s="121"/>
      <c r="F57" s="121"/>
      <c r="G57" s="121"/>
      <c r="H57" s="121"/>
      <c r="I57" s="121"/>
      <c r="J57" s="121"/>
      <c r="K57" s="121"/>
      <c r="L57" s="121"/>
      <c r="M57" s="121"/>
      <c r="N57" s="121"/>
      <c r="O57" s="121"/>
      <c r="P57" s="121"/>
      <c r="Q57" s="121"/>
      <c r="R57" s="121"/>
      <c r="S57" s="121"/>
      <c r="T57" s="121"/>
      <c r="U57" s="121"/>
      <c r="V57" s="121"/>
      <c r="W57" s="121"/>
      <c r="X57" s="121"/>
      <c r="Y57" s="121"/>
      <c r="Z57" s="121"/>
    </row>
    <row r="58" customFormat="false" ht="13.5" hidden="false" customHeight="true" outlineLevel="0" collapsed="false">
      <c r="A58" s="121"/>
      <c r="B58" s="122"/>
      <c r="C58" s="121"/>
      <c r="D58" s="140"/>
      <c r="E58" s="121"/>
      <c r="F58" s="121"/>
      <c r="G58" s="121"/>
      <c r="H58" s="121"/>
      <c r="I58" s="121"/>
      <c r="J58" s="121"/>
      <c r="K58" s="121"/>
      <c r="L58" s="121"/>
      <c r="M58" s="121"/>
      <c r="N58" s="121"/>
      <c r="O58" s="121"/>
      <c r="P58" s="121"/>
      <c r="Q58" s="121"/>
      <c r="R58" s="121"/>
      <c r="S58" s="121"/>
      <c r="T58" s="121"/>
      <c r="U58" s="121"/>
      <c r="V58" s="121"/>
      <c r="W58" s="121"/>
      <c r="X58" s="121"/>
      <c r="Y58" s="121"/>
      <c r="Z58" s="121"/>
    </row>
    <row r="59" customFormat="false" ht="13.5" hidden="false" customHeight="true" outlineLevel="0" collapsed="false">
      <c r="A59" s="121"/>
      <c r="B59" s="122"/>
      <c r="C59" s="121"/>
      <c r="D59" s="140"/>
      <c r="E59" s="121"/>
      <c r="F59" s="121"/>
      <c r="G59" s="121"/>
      <c r="H59" s="121"/>
      <c r="I59" s="121"/>
      <c r="J59" s="121"/>
      <c r="K59" s="121"/>
      <c r="L59" s="121"/>
      <c r="M59" s="121"/>
      <c r="N59" s="121"/>
      <c r="O59" s="121"/>
      <c r="P59" s="121"/>
      <c r="Q59" s="121"/>
      <c r="R59" s="121"/>
      <c r="S59" s="121"/>
      <c r="T59" s="121"/>
      <c r="U59" s="121"/>
      <c r="V59" s="121"/>
      <c r="W59" s="121"/>
      <c r="X59" s="121"/>
      <c r="Y59" s="121"/>
      <c r="Z59" s="121"/>
    </row>
    <row r="60" customFormat="false" ht="13.5" hidden="false" customHeight="true" outlineLevel="0" collapsed="false">
      <c r="A60" s="121"/>
      <c r="B60" s="122"/>
      <c r="C60" s="121"/>
      <c r="D60" s="140"/>
      <c r="E60" s="121"/>
      <c r="F60" s="121"/>
      <c r="G60" s="121"/>
      <c r="H60" s="121"/>
      <c r="I60" s="121"/>
      <c r="J60" s="121"/>
      <c r="K60" s="121"/>
      <c r="L60" s="121"/>
      <c r="M60" s="121"/>
      <c r="N60" s="121"/>
      <c r="O60" s="121"/>
      <c r="P60" s="121"/>
      <c r="Q60" s="121"/>
      <c r="R60" s="121"/>
      <c r="S60" s="121"/>
      <c r="T60" s="121"/>
      <c r="U60" s="121"/>
      <c r="V60" s="121"/>
      <c r="W60" s="121"/>
      <c r="X60" s="121"/>
      <c r="Y60" s="121"/>
      <c r="Z60" s="121"/>
    </row>
    <row r="61" customFormat="false" ht="13.5" hidden="false" customHeight="true" outlineLevel="0" collapsed="false">
      <c r="A61" s="121"/>
      <c r="B61" s="122"/>
      <c r="C61" s="121"/>
      <c r="D61" s="140"/>
      <c r="E61" s="121"/>
      <c r="F61" s="121"/>
      <c r="G61" s="121"/>
      <c r="H61" s="121"/>
      <c r="I61" s="121"/>
      <c r="J61" s="121"/>
      <c r="K61" s="121"/>
      <c r="L61" s="121"/>
      <c r="M61" s="121"/>
      <c r="N61" s="121"/>
      <c r="O61" s="121"/>
      <c r="P61" s="121"/>
      <c r="Q61" s="121"/>
      <c r="R61" s="121"/>
      <c r="S61" s="121"/>
      <c r="T61" s="121"/>
      <c r="U61" s="121"/>
      <c r="V61" s="121"/>
      <c r="W61" s="121"/>
      <c r="X61" s="121"/>
      <c r="Y61" s="121"/>
      <c r="Z61" s="121"/>
    </row>
    <row r="62" customFormat="false" ht="13.5" hidden="false" customHeight="true" outlineLevel="0" collapsed="false">
      <c r="A62" s="121"/>
      <c r="B62" s="122"/>
      <c r="C62" s="121"/>
      <c r="D62" s="140"/>
      <c r="E62" s="121"/>
      <c r="F62" s="121"/>
      <c r="G62" s="121"/>
      <c r="H62" s="121"/>
      <c r="I62" s="121"/>
      <c r="J62" s="121"/>
      <c r="K62" s="121"/>
      <c r="L62" s="121"/>
      <c r="M62" s="121"/>
      <c r="N62" s="121"/>
      <c r="O62" s="121"/>
      <c r="P62" s="121"/>
      <c r="Q62" s="121"/>
      <c r="R62" s="121"/>
      <c r="S62" s="121"/>
      <c r="T62" s="121"/>
      <c r="U62" s="121"/>
      <c r="V62" s="121"/>
      <c r="W62" s="121"/>
      <c r="X62" s="121"/>
      <c r="Y62" s="121"/>
      <c r="Z62" s="121"/>
    </row>
    <row r="63" customFormat="false" ht="13.5" hidden="false" customHeight="true" outlineLevel="0" collapsed="false">
      <c r="A63" s="121"/>
      <c r="B63" s="122"/>
      <c r="C63" s="121"/>
      <c r="D63" s="140"/>
      <c r="E63" s="121"/>
      <c r="F63" s="121"/>
      <c r="G63" s="121"/>
      <c r="H63" s="121"/>
      <c r="I63" s="121"/>
      <c r="J63" s="121"/>
      <c r="K63" s="121"/>
      <c r="L63" s="121"/>
      <c r="M63" s="121"/>
      <c r="N63" s="121"/>
      <c r="O63" s="121"/>
      <c r="P63" s="121"/>
      <c r="Q63" s="121"/>
      <c r="R63" s="121"/>
      <c r="S63" s="121"/>
      <c r="T63" s="121"/>
      <c r="U63" s="121"/>
      <c r="V63" s="121"/>
      <c r="W63" s="121"/>
      <c r="X63" s="121"/>
      <c r="Y63" s="121"/>
      <c r="Z63" s="121"/>
    </row>
    <row r="64" customFormat="false" ht="13.5" hidden="false" customHeight="true" outlineLevel="0" collapsed="false">
      <c r="A64" s="121"/>
      <c r="B64" s="122"/>
      <c r="C64" s="121"/>
      <c r="D64" s="140"/>
      <c r="E64" s="121"/>
      <c r="F64" s="121"/>
      <c r="G64" s="121"/>
      <c r="H64" s="121"/>
      <c r="I64" s="121"/>
      <c r="J64" s="121"/>
      <c r="K64" s="121"/>
      <c r="L64" s="121"/>
      <c r="M64" s="121"/>
      <c r="N64" s="121"/>
      <c r="O64" s="121"/>
      <c r="P64" s="121"/>
      <c r="Q64" s="121"/>
      <c r="R64" s="121"/>
      <c r="S64" s="121"/>
      <c r="T64" s="121"/>
      <c r="U64" s="121"/>
      <c r="V64" s="121"/>
      <c r="W64" s="121"/>
      <c r="X64" s="121"/>
      <c r="Y64" s="121"/>
      <c r="Z64" s="121"/>
    </row>
    <row r="65" customFormat="false" ht="13.5" hidden="false" customHeight="true" outlineLevel="0" collapsed="false">
      <c r="A65" s="121"/>
      <c r="B65" s="122"/>
      <c r="C65" s="121"/>
      <c r="D65" s="140"/>
      <c r="E65" s="121"/>
      <c r="F65" s="121"/>
      <c r="G65" s="121"/>
      <c r="H65" s="121"/>
      <c r="I65" s="121"/>
      <c r="J65" s="121"/>
      <c r="K65" s="121"/>
      <c r="L65" s="121"/>
      <c r="M65" s="121"/>
      <c r="N65" s="121"/>
      <c r="O65" s="121"/>
      <c r="P65" s="121"/>
      <c r="Q65" s="121"/>
      <c r="R65" s="121"/>
      <c r="S65" s="121"/>
      <c r="T65" s="121"/>
      <c r="U65" s="121"/>
      <c r="V65" s="121"/>
      <c r="W65" s="121"/>
      <c r="X65" s="121"/>
      <c r="Y65" s="121"/>
      <c r="Z65" s="121"/>
    </row>
    <row r="66" customFormat="false" ht="13.5" hidden="false" customHeight="true" outlineLevel="0" collapsed="false">
      <c r="A66" s="121"/>
      <c r="B66" s="122"/>
      <c r="C66" s="121"/>
      <c r="D66" s="140"/>
      <c r="E66" s="121"/>
      <c r="F66" s="121"/>
      <c r="G66" s="121"/>
      <c r="H66" s="121"/>
      <c r="I66" s="121"/>
      <c r="J66" s="121"/>
      <c r="K66" s="121"/>
      <c r="L66" s="121"/>
      <c r="M66" s="121"/>
      <c r="N66" s="121"/>
      <c r="O66" s="121"/>
      <c r="P66" s="121"/>
      <c r="Q66" s="121"/>
      <c r="R66" s="121"/>
      <c r="S66" s="121"/>
      <c r="T66" s="121"/>
      <c r="U66" s="121"/>
      <c r="V66" s="121"/>
      <c r="W66" s="121"/>
      <c r="X66" s="121"/>
      <c r="Y66" s="121"/>
      <c r="Z66" s="121"/>
    </row>
    <row r="67" customFormat="false" ht="13.5" hidden="false" customHeight="true" outlineLevel="0" collapsed="false">
      <c r="A67" s="121"/>
      <c r="B67" s="122"/>
      <c r="C67" s="121"/>
      <c r="D67" s="140"/>
      <c r="E67" s="121"/>
      <c r="F67" s="121"/>
      <c r="G67" s="121"/>
      <c r="H67" s="121"/>
      <c r="I67" s="121"/>
      <c r="J67" s="121"/>
      <c r="K67" s="121"/>
      <c r="L67" s="121"/>
      <c r="M67" s="121"/>
      <c r="N67" s="121"/>
      <c r="O67" s="121"/>
      <c r="P67" s="121"/>
      <c r="Q67" s="121"/>
      <c r="R67" s="121"/>
      <c r="S67" s="121"/>
      <c r="T67" s="121"/>
      <c r="U67" s="121"/>
      <c r="V67" s="121"/>
      <c r="W67" s="121"/>
      <c r="X67" s="121"/>
      <c r="Y67" s="121"/>
      <c r="Z67" s="121"/>
    </row>
    <row r="68" customFormat="false" ht="13.5" hidden="false" customHeight="true" outlineLevel="0" collapsed="false">
      <c r="A68" s="121"/>
      <c r="B68" s="122"/>
      <c r="C68" s="121"/>
      <c r="D68" s="140"/>
      <c r="E68" s="121"/>
      <c r="F68" s="121"/>
      <c r="G68" s="121"/>
      <c r="H68" s="121"/>
      <c r="I68" s="121"/>
      <c r="J68" s="121"/>
      <c r="K68" s="121"/>
      <c r="L68" s="121"/>
      <c r="M68" s="121"/>
      <c r="N68" s="121"/>
      <c r="O68" s="121"/>
      <c r="P68" s="121"/>
      <c r="Q68" s="121"/>
      <c r="R68" s="121"/>
      <c r="S68" s="121"/>
      <c r="T68" s="121"/>
      <c r="U68" s="121"/>
      <c r="V68" s="121"/>
      <c r="W68" s="121"/>
      <c r="X68" s="121"/>
      <c r="Y68" s="121"/>
      <c r="Z68" s="121"/>
    </row>
    <row r="69" customFormat="false" ht="13.5" hidden="false" customHeight="true" outlineLevel="0" collapsed="false">
      <c r="A69" s="121"/>
      <c r="B69" s="122"/>
      <c r="C69" s="121"/>
      <c r="D69" s="140"/>
      <c r="E69" s="121"/>
      <c r="F69" s="121"/>
      <c r="G69" s="121"/>
      <c r="H69" s="121"/>
      <c r="I69" s="121"/>
      <c r="J69" s="121"/>
      <c r="K69" s="121"/>
      <c r="L69" s="121"/>
      <c r="M69" s="121"/>
      <c r="N69" s="121"/>
      <c r="O69" s="121"/>
      <c r="P69" s="121"/>
      <c r="Q69" s="121"/>
      <c r="R69" s="121"/>
      <c r="S69" s="121"/>
      <c r="T69" s="121"/>
      <c r="U69" s="121"/>
      <c r="V69" s="121"/>
      <c r="W69" s="121"/>
      <c r="X69" s="121"/>
      <c r="Y69" s="121"/>
      <c r="Z69" s="121"/>
    </row>
    <row r="70" customFormat="false" ht="13.5" hidden="false" customHeight="true" outlineLevel="0" collapsed="false">
      <c r="A70" s="121"/>
      <c r="B70" s="122"/>
      <c r="C70" s="121"/>
      <c r="D70" s="140"/>
      <c r="E70" s="121"/>
      <c r="F70" s="121"/>
      <c r="G70" s="121"/>
      <c r="H70" s="121"/>
      <c r="I70" s="121"/>
      <c r="J70" s="121"/>
      <c r="K70" s="121"/>
      <c r="L70" s="121"/>
      <c r="M70" s="121"/>
      <c r="N70" s="121"/>
      <c r="O70" s="121"/>
      <c r="P70" s="121"/>
      <c r="Q70" s="121"/>
      <c r="R70" s="121"/>
      <c r="S70" s="121"/>
      <c r="T70" s="121"/>
      <c r="U70" s="121"/>
      <c r="V70" s="121"/>
      <c r="W70" s="121"/>
      <c r="X70" s="121"/>
      <c r="Y70" s="121"/>
      <c r="Z70" s="121"/>
    </row>
    <row r="71" customFormat="false" ht="13.5" hidden="false" customHeight="true" outlineLevel="0" collapsed="false">
      <c r="A71" s="121"/>
      <c r="B71" s="122"/>
      <c r="C71" s="121"/>
      <c r="D71" s="140"/>
      <c r="E71" s="121"/>
      <c r="F71" s="121"/>
      <c r="G71" s="121"/>
      <c r="H71" s="121"/>
      <c r="I71" s="121"/>
      <c r="J71" s="121"/>
      <c r="K71" s="121"/>
      <c r="L71" s="121"/>
      <c r="M71" s="121"/>
      <c r="N71" s="121"/>
      <c r="O71" s="121"/>
      <c r="P71" s="121"/>
      <c r="Q71" s="121"/>
      <c r="R71" s="121"/>
      <c r="S71" s="121"/>
      <c r="T71" s="121"/>
      <c r="U71" s="121"/>
      <c r="V71" s="121"/>
      <c r="W71" s="121"/>
      <c r="X71" s="121"/>
      <c r="Y71" s="121"/>
      <c r="Z71" s="121"/>
    </row>
    <row r="72" customFormat="false" ht="13.5" hidden="false" customHeight="true" outlineLevel="0" collapsed="false">
      <c r="A72" s="121"/>
      <c r="B72" s="122"/>
      <c r="C72" s="121"/>
      <c r="D72" s="140"/>
      <c r="E72" s="121"/>
      <c r="F72" s="121"/>
      <c r="G72" s="121"/>
      <c r="H72" s="121"/>
      <c r="I72" s="121"/>
      <c r="J72" s="121"/>
      <c r="K72" s="121"/>
      <c r="L72" s="121"/>
      <c r="M72" s="121"/>
      <c r="N72" s="121"/>
      <c r="O72" s="121"/>
      <c r="P72" s="121"/>
      <c r="Q72" s="121"/>
      <c r="R72" s="121"/>
      <c r="S72" s="121"/>
      <c r="T72" s="121"/>
      <c r="U72" s="121"/>
      <c r="V72" s="121"/>
      <c r="W72" s="121"/>
      <c r="X72" s="121"/>
      <c r="Y72" s="121"/>
      <c r="Z72" s="121"/>
    </row>
    <row r="73" customFormat="false" ht="13.5" hidden="false" customHeight="true" outlineLevel="0" collapsed="false">
      <c r="A73" s="121"/>
      <c r="B73" s="122"/>
      <c r="C73" s="121"/>
      <c r="D73" s="140"/>
      <c r="E73" s="121"/>
      <c r="F73" s="121"/>
      <c r="G73" s="121"/>
      <c r="H73" s="121"/>
      <c r="I73" s="121"/>
      <c r="J73" s="121"/>
      <c r="K73" s="121"/>
      <c r="L73" s="121"/>
      <c r="M73" s="121"/>
      <c r="N73" s="121"/>
      <c r="O73" s="121"/>
      <c r="P73" s="121"/>
      <c r="Q73" s="121"/>
      <c r="R73" s="121"/>
      <c r="S73" s="121"/>
      <c r="T73" s="121"/>
      <c r="U73" s="121"/>
      <c r="V73" s="121"/>
      <c r="W73" s="121"/>
      <c r="X73" s="121"/>
      <c r="Y73" s="121"/>
      <c r="Z73" s="121"/>
    </row>
    <row r="74" customFormat="false" ht="13.5" hidden="false" customHeight="true" outlineLevel="0" collapsed="false">
      <c r="A74" s="121"/>
      <c r="B74" s="122"/>
      <c r="C74" s="121"/>
      <c r="D74" s="140"/>
      <c r="E74" s="121"/>
      <c r="F74" s="121"/>
      <c r="G74" s="121"/>
      <c r="H74" s="121"/>
      <c r="I74" s="121"/>
      <c r="J74" s="121"/>
      <c r="K74" s="121"/>
      <c r="L74" s="121"/>
      <c r="M74" s="121"/>
      <c r="N74" s="121"/>
      <c r="O74" s="121"/>
      <c r="P74" s="121"/>
      <c r="Q74" s="121"/>
      <c r="R74" s="121"/>
      <c r="S74" s="121"/>
      <c r="T74" s="121"/>
      <c r="U74" s="121"/>
      <c r="V74" s="121"/>
      <c r="W74" s="121"/>
      <c r="X74" s="121"/>
      <c r="Y74" s="121"/>
      <c r="Z74" s="121"/>
    </row>
    <row r="75" customFormat="false" ht="13.5" hidden="false" customHeight="true" outlineLevel="0" collapsed="false">
      <c r="A75" s="121"/>
      <c r="B75" s="122"/>
      <c r="C75" s="121"/>
      <c r="D75" s="140"/>
      <c r="E75" s="121"/>
      <c r="F75" s="121"/>
      <c r="G75" s="121"/>
      <c r="H75" s="121"/>
      <c r="I75" s="121"/>
      <c r="J75" s="121"/>
      <c r="K75" s="121"/>
      <c r="L75" s="121"/>
      <c r="M75" s="121"/>
      <c r="N75" s="121"/>
      <c r="O75" s="121"/>
      <c r="P75" s="121"/>
      <c r="Q75" s="121"/>
      <c r="R75" s="121"/>
      <c r="S75" s="121"/>
      <c r="T75" s="121"/>
      <c r="U75" s="121"/>
      <c r="V75" s="121"/>
      <c r="W75" s="121"/>
      <c r="X75" s="121"/>
      <c r="Y75" s="121"/>
      <c r="Z75" s="121"/>
    </row>
    <row r="76" customFormat="false" ht="13.5" hidden="false" customHeight="true" outlineLevel="0" collapsed="false">
      <c r="A76" s="121"/>
      <c r="B76" s="122"/>
      <c r="C76" s="121"/>
      <c r="D76" s="140"/>
      <c r="E76" s="121"/>
      <c r="F76" s="121"/>
      <c r="G76" s="121"/>
      <c r="H76" s="121"/>
      <c r="I76" s="121"/>
      <c r="J76" s="121"/>
      <c r="K76" s="121"/>
      <c r="L76" s="121"/>
      <c r="M76" s="121"/>
      <c r="N76" s="121"/>
      <c r="O76" s="121"/>
      <c r="P76" s="121"/>
      <c r="Q76" s="121"/>
      <c r="R76" s="121"/>
      <c r="S76" s="121"/>
      <c r="T76" s="121"/>
      <c r="U76" s="121"/>
      <c r="V76" s="121"/>
      <c r="W76" s="121"/>
      <c r="X76" s="121"/>
      <c r="Y76" s="121"/>
      <c r="Z76" s="121"/>
    </row>
    <row r="77" customFormat="false" ht="13.5" hidden="false" customHeight="true" outlineLevel="0" collapsed="false">
      <c r="A77" s="121"/>
      <c r="B77" s="122"/>
      <c r="C77" s="121"/>
      <c r="D77" s="140"/>
      <c r="E77" s="121"/>
      <c r="F77" s="121"/>
      <c r="G77" s="121"/>
      <c r="H77" s="121"/>
      <c r="I77" s="121"/>
      <c r="J77" s="121"/>
      <c r="K77" s="121"/>
      <c r="L77" s="121"/>
      <c r="M77" s="121"/>
      <c r="N77" s="121"/>
      <c r="O77" s="121"/>
      <c r="P77" s="121"/>
      <c r="Q77" s="121"/>
      <c r="R77" s="121"/>
      <c r="S77" s="121"/>
      <c r="T77" s="121"/>
      <c r="U77" s="121"/>
      <c r="V77" s="121"/>
      <c r="W77" s="121"/>
      <c r="X77" s="121"/>
      <c r="Y77" s="121"/>
      <c r="Z77" s="121"/>
    </row>
    <row r="78" customFormat="false" ht="13.5" hidden="false" customHeight="true" outlineLevel="0" collapsed="false">
      <c r="A78" s="121"/>
      <c r="B78" s="122"/>
      <c r="C78" s="121"/>
      <c r="D78" s="140"/>
      <c r="E78" s="121"/>
      <c r="F78" s="121"/>
      <c r="G78" s="121"/>
      <c r="H78" s="121"/>
      <c r="I78" s="121"/>
      <c r="J78" s="121"/>
      <c r="K78" s="121"/>
      <c r="L78" s="121"/>
      <c r="M78" s="121"/>
      <c r="N78" s="121"/>
      <c r="O78" s="121"/>
      <c r="P78" s="121"/>
      <c r="Q78" s="121"/>
      <c r="R78" s="121"/>
      <c r="S78" s="121"/>
      <c r="T78" s="121"/>
      <c r="U78" s="121"/>
      <c r="V78" s="121"/>
      <c r="W78" s="121"/>
      <c r="X78" s="121"/>
      <c r="Y78" s="121"/>
      <c r="Z78" s="121"/>
    </row>
    <row r="79" customFormat="false" ht="13.5" hidden="false" customHeight="true" outlineLevel="0" collapsed="false">
      <c r="A79" s="121"/>
      <c r="B79" s="122"/>
      <c r="C79" s="121"/>
      <c r="D79" s="140"/>
      <c r="E79" s="121"/>
      <c r="F79" s="121"/>
      <c r="G79" s="121"/>
      <c r="H79" s="121"/>
      <c r="I79" s="121"/>
      <c r="J79" s="121"/>
      <c r="K79" s="121"/>
      <c r="L79" s="121"/>
      <c r="M79" s="121"/>
      <c r="N79" s="121"/>
      <c r="O79" s="121"/>
      <c r="P79" s="121"/>
      <c r="Q79" s="121"/>
      <c r="R79" s="121"/>
      <c r="S79" s="121"/>
      <c r="T79" s="121"/>
      <c r="U79" s="121"/>
      <c r="V79" s="121"/>
      <c r="W79" s="121"/>
      <c r="X79" s="121"/>
      <c r="Y79" s="121"/>
      <c r="Z79" s="121"/>
    </row>
    <row r="80" customFormat="false" ht="13.5" hidden="false" customHeight="true" outlineLevel="0" collapsed="false">
      <c r="A80" s="121"/>
      <c r="B80" s="122"/>
      <c r="C80" s="121"/>
      <c r="D80" s="140"/>
      <c r="E80" s="121"/>
      <c r="F80" s="121"/>
      <c r="G80" s="121"/>
      <c r="H80" s="121"/>
      <c r="I80" s="121"/>
      <c r="J80" s="121"/>
      <c r="K80" s="121"/>
      <c r="L80" s="121"/>
      <c r="M80" s="121"/>
      <c r="N80" s="121"/>
      <c r="O80" s="121"/>
      <c r="P80" s="121"/>
      <c r="Q80" s="121"/>
      <c r="R80" s="121"/>
      <c r="S80" s="121"/>
      <c r="T80" s="121"/>
      <c r="U80" s="121"/>
      <c r="V80" s="121"/>
      <c r="W80" s="121"/>
      <c r="X80" s="121"/>
      <c r="Y80" s="121"/>
      <c r="Z80" s="121"/>
    </row>
    <row r="81" customFormat="false" ht="13.5" hidden="false" customHeight="true" outlineLevel="0" collapsed="false">
      <c r="A81" s="121"/>
      <c r="B81" s="122"/>
      <c r="C81" s="121"/>
      <c r="D81" s="140"/>
      <c r="E81" s="121"/>
      <c r="F81" s="121"/>
      <c r="G81" s="121"/>
      <c r="H81" s="121"/>
      <c r="I81" s="121"/>
      <c r="J81" s="121"/>
      <c r="K81" s="121"/>
      <c r="L81" s="121"/>
      <c r="M81" s="121"/>
      <c r="N81" s="121"/>
      <c r="O81" s="121"/>
      <c r="P81" s="121"/>
      <c r="Q81" s="121"/>
      <c r="R81" s="121"/>
      <c r="S81" s="121"/>
      <c r="T81" s="121"/>
      <c r="U81" s="121"/>
      <c r="V81" s="121"/>
      <c r="W81" s="121"/>
      <c r="X81" s="121"/>
      <c r="Y81" s="121"/>
      <c r="Z81" s="121"/>
    </row>
    <row r="82" customFormat="false" ht="13.5" hidden="false" customHeight="true" outlineLevel="0" collapsed="false">
      <c r="A82" s="121"/>
      <c r="B82" s="122"/>
      <c r="C82" s="121"/>
      <c r="D82" s="140"/>
      <c r="E82" s="121"/>
      <c r="F82" s="121"/>
      <c r="G82" s="121"/>
      <c r="H82" s="121"/>
      <c r="I82" s="121"/>
      <c r="J82" s="121"/>
      <c r="K82" s="121"/>
      <c r="L82" s="121"/>
      <c r="M82" s="121"/>
      <c r="N82" s="121"/>
      <c r="O82" s="121"/>
      <c r="P82" s="121"/>
      <c r="Q82" s="121"/>
      <c r="R82" s="121"/>
      <c r="S82" s="121"/>
      <c r="T82" s="121"/>
      <c r="U82" s="121"/>
      <c r="V82" s="121"/>
      <c r="W82" s="121"/>
      <c r="X82" s="121"/>
      <c r="Y82" s="121"/>
      <c r="Z82" s="121"/>
    </row>
    <row r="83" customFormat="false" ht="13.5" hidden="false" customHeight="true" outlineLevel="0" collapsed="false">
      <c r="A83" s="121"/>
      <c r="B83" s="122"/>
      <c r="C83" s="121"/>
      <c r="D83" s="140"/>
      <c r="E83" s="121"/>
      <c r="F83" s="121"/>
      <c r="G83" s="121"/>
      <c r="H83" s="121"/>
      <c r="I83" s="121"/>
      <c r="J83" s="121"/>
      <c r="K83" s="121"/>
      <c r="L83" s="121"/>
      <c r="M83" s="121"/>
      <c r="N83" s="121"/>
      <c r="O83" s="121"/>
      <c r="P83" s="121"/>
      <c r="Q83" s="121"/>
      <c r="R83" s="121"/>
      <c r="S83" s="121"/>
      <c r="T83" s="121"/>
      <c r="U83" s="121"/>
      <c r="V83" s="121"/>
      <c r="W83" s="121"/>
      <c r="X83" s="121"/>
      <c r="Y83" s="121"/>
      <c r="Z83" s="121"/>
    </row>
    <row r="84" customFormat="false" ht="13.5" hidden="false" customHeight="true" outlineLevel="0" collapsed="false">
      <c r="A84" s="121"/>
      <c r="B84" s="122"/>
      <c r="C84" s="121"/>
      <c r="D84" s="140"/>
      <c r="E84" s="121"/>
      <c r="F84" s="121"/>
      <c r="G84" s="121"/>
      <c r="H84" s="121"/>
      <c r="I84" s="121"/>
      <c r="J84" s="121"/>
      <c r="K84" s="121"/>
      <c r="L84" s="121"/>
      <c r="M84" s="121"/>
      <c r="N84" s="121"/>
      <c r="O84" s="121"/>
      <c r="P84" s="121"/>
      <c r="Q84" s="121"/>
      <c r="R84" s="121"/>
      <c r="S84" s="121"/>
      <c r="T84" s="121"/>
      <c r="U84" s="121"/>
      <c r="V84" s="121"/>
      <c r="W84" s="121"/>
      <c r="X84" s="121"/>
      <c r="Y84" s="121"/>
      <c r="Z84" s="121"/>
    </row>
    <row r="85" customFormat="false" ht="13.5" hidden="false" customHeight="true" outlineLevel="0" collapsed="false">
      <c r="A85" s="121"/>
      <c r="B85" s="122"/>
      <c r="C85" s="121"/>
      <c r="D85" s="140"/>
      <c r="E85" s="121"/>
      <c r="F85" s="121"/>
      <c r="G85" s="121"/>
      <c r="H85" s="121"/>
      <c r="I85" s="121"/>
      <c r="J85" s="121"/>
      <c r="K85" s="121"/>
      <c r="L85" s="121"/>
      <c r="M85" s="121"/>
      <c r="N85" s="121"/>
      <c r="O85" s="121"/>
      <c r="P85" s="121"/>
      <c r="Q85" s="121"/>
      <c r="R85" s="121"/>
      <c r="S85" s="121"/>
      <c r="T85" s="121"/>
      <c r="U85" s="121"/>
      <c r="V85" s="121"/>
      <c r="W85" s="121"/>
      <c r="X85" s="121"/>
      <c r="Y85" s="121"/>
      <c r="Z85" s="121"/>
    </row>
    <row r="86" customFormat="false" ht="13.5" hidden="false" customHeight="true" outlineLevel="0" collapsed="false">
      <c r="A86" s="121"/>
      <c r="B86" s="122"/>
      <c r="C86" s="121"/>
      <c r="D86" s="140"/>
      <c r="E86" s="121"/>
      <c r="F86" s="121"/>
      <c r="G86" s="121"/>
      <c r="H86" s="121"/>
      <c r="I86" s="121"/>
      <c r="J86" s="121"/>
      <c r="K86" s="121"/>
      <c r="L86" s="121"/>
      <c r="M86" s="121"/>
      <c r="N86" s="121"/>
      <c r="O86" s="121"/>
      <c r="P86" s="121"/>
      <c r="Q86" s="121"/>
      <c r="R86" s="121"/>
      <c r="S86" s="121"/>
      <c r="T86" s="121"/>
      <c r="U86" s="121"/>
      <c r="V86" s="121"/>
      <c r="W86" s="121"/>
      <c r="X86" s="121"/>
      <c r="Y86" s="121"/>
      <c r="Z86" s="121"/>
    </row>
    <row r="87" customFormat="false" ht="13.5" hidden="false" customHeight="true" outlineLevel="0" collapsed="false">
      <c r="A87" s="121"/>
      <c r="B87" s="122"/>
      <c r="C87" s="121"/>
      <c r="D87" s="140"/>
      <c r="E87" s="121"/>
      <c r="F87" s="121"/>
      <c r="G87" s="121"/>
      <c r="H87" s="121"/>
      <c r="I87" s="121"/>
      <c r="J87" s="121"/>
      <c r="K87" s="121"/>
      <c r="L87" s="121"/>
      <c r="M87" s="121"/>
      <c r="N87" s="121"/>
      <c r="O87" s="121"/>
      <c r="P87" s="121"/>
      <c r="Q87" s="121"/>
      <c r="R87" s="121"/>
      <c r="S87" s="121"/>
      <c r="T87" s="121"/>
      <c r="U87" s="121"/>
      <c r="V87" s="121"/>
      <c r="W87" s="121"/>
      <c r="X87" s="121"/>
      <c r="Y87" s="121"/>
      <c r="Z87" s="121"/>
    </row>
    <row r="88" customFormat="false" ht="13.5" hidden="false" customHeight="true" outlineLevel="0" collapsed="false">
      <c r="A88" s="121"/>
      <c r="B88" s="122"/>
      <c r="C88" s="121"/>
      <c r="D88" s="140"/>
      <c r="E88" s="121"/>
      <c r="F88" s="121"/>
      <c r="G88" s="121"/>
      <c r="H88" s="121"/>
      <c r="I88" s="121"/>
      <c r="J88" s="121"/>
      <c r="K88" s="121"/>
      <c r="L88" s="121"/>
      <c r="M88" s="121"/>
      <c r="N88" s="121"/>
      <c r="O88" s="121"/>
      <c r="P88" s="121"/>
      <c r="Q88" s="121"/>
      <c r="R88" s="121"/>
      <c r="S88" s="121"/>
      <c r="T88" s="121"/>
      <c r="U88" s="121"/>
      <c r="V88" s="121"/>
      <c r="W88" s="121"/>
      <c r="X88" s="121"/>
      <c r="Y88" s="121"/>
      <c r="Z88" s="121"/>
    </row>
    <row r="89" customFormat="false" ht="13.5" hidden="false" customHeight="true" outlineLevel="0" collapsed="false">
      <c r="A89" s="121"/>
      <c r="B89" s="122"/>
      <c r="C89" s="121"/>
      <c r="D89" s="140"/>
      <c r="E89" s="121"/>
      <c r="F89" s="121"/>
      <c r="G89" s="121"/>
      <c r="H89" s="121"/>
      <c r="I89" s="121"/>
      <c r="J89" s="121"/>
      <c r="K89" s="121"/>
      <c r="L89" s="121"/>
      <c r="M89" s="121"/>
      <c r="N89" s="121"/>
      <c r="O89" s="121"/>
      <c r="P89" s="121"/>
      <c r="Q89" s="121"/>
      <c r="R89" s="121"/>
      <c r="S89" s="121"/>
      <c r="T89" s="121"/>
      <c r="U89" s="121"/>
      <c r="V89" s="121"/>
      <c r="W89" s="121"/>
      <c r="X89" s="121"/>
      <c r="Y89" s="121"/>
      <c r="Z89" s="121"/>
    </row>
    <row r="90" customFormat="false" ht="13.5" hidden="false" customHeight="true" outlineLevel="0" collapsed="false">
      <c r="A90" s="121"/>
      <c r="B90" s="122"/>
      <c r="C90" s="121"/>
      <c r="D90" s="140"/>
      <c r="E90" s="121"/>
      <c r="F90" s="121"/>
      <c r="G90" s="121"/>
      <c r="H90" s="121"/>
      <c r="I90" s="121"/>
      <c r="J90" s="121"/>
      <c r="K90" s="121"/>
      <c r="L90" s="121"/>
      <c r="M90" s="121"/>
      <c r="N90" s="121"/>
      <c r="O90" s="121"/>
      <c r="P90" s="121"/>
      <c r="Q90" s="121"/>
      <c r="R90" s="121"/>
      <c r="S90" s="121"/>
      <c r="T90" s="121"/>
      <c r="U90" s="121"/>
      <c r="V90" s="121"/>
      <c r="W90" s="121"/>
      <c r="X90" s="121"/>
      <c r="Y90" s="121"/>
      <c r="Z90" s="121"/>
    </row>
    <row r="91" customFormat="false" ht="13.5" hidden="false" customHeight="true" outlineLevel="0" collapsed="false">
      <c r="A91" s="121"/>
      <c r="B91" s="122"/>
      <c r="C91" s="121"/>
      <c r="D91" s="140"/>
      <c r="E91" s="121"/>
      <c r="F91" s="121"/>
      <c r="G91" s="121"/>
      <c r="H91" s="121"/>
      <c r="I91" s="121"/>
      <c r="J91" s="121"/>
      <c r="K91" s="121"/>
      <c r="L91" s="121"/>
      <c r="M91" s="121"/>
      <c r="N91" s="121"/>
      <c r="O91" s="121"/>
      <c r="P91" s="121"/>
      <c r="Q91" s="121"/>
      <c r="R91" s="121"/>
      <c r="S91" s="121"/>
      <c r="T91" s="121"/>
      <c r="U91" s="121"/>
      <c r="V91" s="121"/>
      <c r="W91" s="121"/>
      <c r="X91" s="121"/>
      <c r="Y91" s="121"/>
      <c r="Z91" s="121"/>
    </row>
    <row r="92" customFormat="false" ht="13.5" hidden="false" customHeight="true" outlineLevel="0" collapsed="false">
      <c r="A92" s="121"/>
      <c r="B92" s="122"/>
      <c r="C92" s="121"/>
      <c r="D92" s="140"/>
      <c r="E92" s="121"/>
      <c r="F92" s="121"/>
      <c r="G92" s="121"/>
      <c r="H92" s="121"/>
      <c r="I92" s="121"/>
      <c r="J92" s="121"/>
      <c r="K92" s="121"/>
      <c r="L92" s="121"/>
      <c r="M92" s="121"/>
      <c r="N92" s="121"/>
      <c r="O92" s="121"/>
      <c r="P92" s="121"/>
      <c r="Q92" s="121"/>
      <c r="R92" s="121"/>
      <c r="S92" s="121"/>
      <c r="T92" s="121"/>
      <c r="U92" s="121"/>
      <c r="V92" s="121"/>
      <c r="W92" s="121"/>
      <c r="X92" s="121"/>
      <c r="Y92" s="121"/>
      <c r="Z92" s="121"/>
    </row>
    <row r="93" customFormat="false" ht="13.5" hidden="false" customHeight="true" outlineLevel="0" collapsed="false">
      <c r="A93" s="121"/>
      <c r="B93" s="122"/>
      <c r="C93" s="121"/>
      <c r="D93" s="140"/>
      <c r="E93" s="121"/>
      <c r="F93" s="121"/>
      <c r="G93" s="121"/>
      <c r="H93" s="121"/>
      <c r="I93" s="121"/>
      <c r="J93" s="121"/>
      <c r="K93" s="121"/>
      <c r="L93" s="121"/>
      <c r="M93" s="121"/>
      <c r="N93" s="121"/>
      <c r="O93" s="121"/>
      <c r="P93" s="121"/>
      <c r="Q93" s="121"/>
      <c r="R93" s="121"/>
      <c r="S93" s="121"/>
      <c r="T93" s="121"/>
      <c r="U93" s="121"/>
      <c r="V93" s="121"/>
      <c r="W93" s="121"/>
      <c r="X93" s="121"/>
      <c r="Y93" s="121"/>
      <c r="Z93" s="121"/>
    </row>
    <row r="94" customFormat="false" ht="13.5" hidden="false" customHeight="true" outlineLevel="0" collapsed="false">
      <c r="A94" s="121"/>
      <c r="B94" s="122"/>
      <c r="C94" s="121"/>
      <c r="D94" s="140"/>
      <c r="E94" s="121"/>
      <c r="F94" s="121"/>
      <c r="G94" s="121"/>
      <c r="H94" s="121"/>
      <c r="I94" s="121"/>
      <c r="J94" s="121"/>
      <c r="K94" s="121"/>
      <c r="L94" s="121"/>
      <c r="M94" s="121"/>
      <c r="N94" s="121"/>
      <c r="O94" s="121"/>
      <c r="P94" s="121"/>
      <c r="Q94" s="121"/>
      <c r="R94" s="121"/>
      <c r="S94" s="121"/>
      <c r="T94" s="121"/>
      <c r="U94" s="121"/>
      <c r="V94" s="121"/>
      <c r="W94" s="121"/>
      <c r="X94" s="121"/>
      <c r="Y94" s="121"/>
      <c r="Z94" s="121"/>
    </row>
    <row r="95" customFormat="false" ht="13.5" hidden="false" customHeight="true" outlineLevel="0" collapsed="false">
      <c r="A95" s="121"/>
      <c r="B95" s="122"/>
      <c r="C95" s="121"/>
      <c r="D95" s="140"/>
      <c r="E95" s="121"/>
      <c r="F95" s="121"/>
      <c r="G95" s="121"/>
      <c r="H95" s="121"/>
      <c r="I95" s="121"/>
      <c r="J95" s="121"/>
      <c r="K95" s="121"/>
      <c r="L95" s="121"/>
      <c r="M95" s="121"/>
      <c r="N95" s="121"/>
      <c r="O95" s="121"/>
      <c r="P95" s="121"/>
      <c r="Q95" s="121"/>
      <c r="R95" s="121"/>
      <c r="S95" s="121"/>
      <c r="T95" s="121"/>
      <c r="U95" s="121"/>
      <c r="V95" s="121"/>
      <c r="W95" s="121"/>
      <c r="X95" s="121"/>
      <c r="Y95" s="121"/>
      <c r="Z95" s="121"/>
    </row>
    <row r="96" customFormat="false" ht="13.5" hidden="false" customHeight="true" outlineLevel="0" collapsed="false">
      <c r="A96" s="121"/>
      <c r="B96" s="122"/>
      <c r="C96" s="121"/>
      <c r="D96" s="140"/>
      <c r="E96" s="121"/>
      <c r="F96" s="121"/>
      <c r="G96" s="121"/>
      <c r="H96" s="121"/>
      <c r="I96" s="121"/>
      <c r="J96" s="121"/>
      <c r="K96" s="121"/>
      <c r="L96" s="121"/>
      <c r="M96" s="121"/>
      <c r="N96" s="121"/>
      <c r="O96" s="121"/>
      <c r="P96" s="121"/>
      <c r="Q96" s="121"/>
      <c r="R96" s="121"/>
      <c r="S96" s="121"/>
      <c r="T96" s="121"/>
      <c r="U96" s="121"/>
      <c r="V96" s="121"/>
      <c r="W96" s="121"/>
      <c r="X96" s="121"/>
      <c r="Y96" s="121"/>
      <c r="Z96" s="121"/>
    </row>
    <row r="97" customFormat="false" ht="13.5" hidden="false" customHeight="true" outlineLevel="0" collapsed="false">
      <c r="A97" s="121"/>
      <c r="B97" s="122"/>
      <c r="C97" s="121"/>
      <c r="D97" s="140"/>
      <c r="E97" s="121"/>
      <c r="F97" s="121"/>
      <c r="G97" s="121"/>
      <c r="H97" s="121"/>
      <c r="I97" s="121"/>
      <c r="J97" s="121"/>
      <c r="K97" s="121"/>
      <c r="L97" s="121"/>
      <c r="M97" s="121"/>
      <c r="N97" s="121"/>
      <c r="O97" s="121"/>
      <c r="P97" s="121"/>
      <c r="Q97" s="121"/>
      <c r="R97" s="121"/>
      <c r="S97" s="121"/>
      <c r="T97" s="121"/>
      <c r="U97" s="121"/>
      <c r="V97" s="121"/>
      <c r="W97" s="121"/>
      <c r="X97" s="121"/>
      <c r="Y97" s="121"/>
      <c r="Z97" s="121"/>
    </row>
    <row r="98" customFormat="false" ht="13.5" hidden="false" customHeight="true" outlineLevel="0" collapsed="false">
      <c r="A98" s="121"/>
      <c r="B98" s="122"/>
      <c r="C98" s="121"/>
      <c r="D98" s="140"/>
      <c r="E98" s="121"/>
      <c r="F98" s="121"/>
      <c r="G98" s="121"/>
      <c r="H98" s="121"/>
      <c r="I98" s="121"/>
      <c r="J98" s="121"/>
      <c r="K98" s="121"/>
      <c r="L98" s="121"/>
      <c r="M98" s="121"/>
      <c r="N98" s="121"/>
      <c r="O98" s="121"/>
      <c r="P98" s="121"/>
      <c r="Q98" s="121"/>
      <c r="R98" s="121"/>
      <c r="S98" s="121"/>
      <c r="T98" s="121"/>
      <c r="U98" s="121"/>
      <c r="V98" s="121"/>
      <c r="W98" s="121"/>
      <c r="X98" s="121"/>
      <c r="Y98" s="121"/>
      <c r="Z98" s="121"/>
    </row>
    <row r="99" customFormat="false" ht="13.5" hidden="false" customHeight="true" outlineLevel="0" collapsed="false">
      <c r="A99" s="121"/>
      <c r="B99" s="122"/>
      <c r="C99" s="121"/>
      <c r="D99" s="140"/>
      <c r="E99" s="121"/>
      <c r="F99" s="121"/>
      <c r="G99" s="121"/>
      <c r="H99" s="121"/>
      <c r="I99" s="121"/>
      <c r="J99" s="121"/>
      <c r="K99" s="121"/>
      <c r="L99" s="121"/>
      <c r="M99" s="121"/>
      <c r="N99" s="121"/>
      <c r="O99" s="121"/>
      <c r="P99" s="121"/>
      <c r="Q99" s="121"/>
      <c r="R99" s="121"/>
      <c r="S99" s="121"/>
      <c r="T99" s="121"/>
      <c r="U99" s="121"/>
      <c r="V99" s="121"/>
      <c r="W99" s="121"/>
      <c r="X99" s="121"/>
      <c r="Y99" s="121"/>
      <c r="Z99" s="121"/>
    </row>
    <row r="100" customFormat="false" ht="13.5" hidden="false" customHeight="true" outlineLevel="0" collapsed="false">
      <c r="A100" s="121"/>
      <c r="B100" s="122"/>
      <c r="C100" s="121"/>
      <c r="D100" s="140"/>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ustomFormat="false" ht="13.5" hidden="false" customHeight="true" outlineLevel="0" collapsed="false">
      <c r="A101" s="121"/>
      <c r="B101" s="122"/>
      <c r="C101" s="121"/>
      <c r="D101" s="140"/>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ustomFormat="false" ht="13.5" hidden="false" customHeight="true" outlineLevel="0" collapsed="false">
      <c r="A102" s="121"/>
      <c r="B102" s="122"/>
      <c r="C102" s="121"/>
      <c r="D102" s="140"/>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ustomFormat="false" ht="13.5" hidden="false" customHeight="true" outlineLevel="0" collapsed="false">
      <c r="A103" s="121"/>
      <c r="B103" s="122"/>
      <c r="C103" s="121"/>
      <c r="D103" s="140"/>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ustomFormat="false" ht="13.5" hidden="false" customHeight="true" outlineLevel="0" collapsed="false">
      <c r="A104" s="121"/>
      <c r="B104" s="122"/>
      <c r="C104" s="121"/>
      <c r="D104" s="140"/>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ustomFormat="false" ht="13.5" hidden="false" customHeight="true" outlineLevel="0" collapsed="false">
      <c r="A105" s="121"/>
      <c r="B105" s="122"/>
      <c r="C105" s="121"/>
      <c r="D105" s="140"/>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ustomFormat="false" ht="13.5" hidden="false" customHeight="true" outlineLevel="0" collapsed="false">
      <c r="A106" s="121"/>
      <c r="B106" s="122"/>
      <c r="C106" s="121"/>
      <c r="D106" s="140"/>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ustomFormat="false" ht="13.5" hidden="false" customHeight="true" outlineLevel="0" collapsed="false">
      <c r="A107" s="121"/>
      <c r="B107" s="122"/>
      <c r="C107" s="121"/>
      <c r="D107" s="140"/>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ustomFormat="false" ht="13.5" hidden="false" customHeight="true" outlineLevel="0" collapsed="false">
      <c r="A108" s="121"/>
      <c r="B108" s="122"/>
      <c r="C108" s="121"/>
      <c r="D108" s="140"/>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ustomFormat="false" ht="13.5" hidden="false" customHeight="true" outlineLevel="0" collapsed="false">
      <c r="A109" s="121"/>
      <c r="B109" s="122"/>
      <c r="C109" s="121"/>
      <c r="D109" s="140"/>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ustomFormat="false" ht="13.5" hidden="false" customHeight="true" outlineLevel="0" collapsed="false">
      <c r="A110" s="121"/>
      <c r="B110" s="122"/>
      <c r="C110" s="121"/>
      <c r="D110" s="140"/>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ustomFormat="false" ht="13.5" hidden="false" customHeight="true" outlineLevel="0" collapsed="false">
      <c r="A111" s="121"/>
      <c r="B111" s="122"/>
      <c r="C111" s="121"/>
      <c r="D111" s="140"/>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ustomFormat="false" ht="13.5" hidden="false" customHeight="true" outlineLevel="0" collapsed="false">
      <c r="A112" s="121"/>
      <c r="B112" s="122"/>
      <c r="C112" s="121"/>
      <c r="D112" s="140"/>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ustomFormat="false" ht="13.5" hidden="false" customHeight="true" outlineLevel="0" collapsed="false">
      <c r="A113" s="121"/>
      <c r="B113" s="122"/>
      <c r="C113" s="121"/>
      <c r="D113" s="140"/>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ustomFormat="false" ht="13.5" hidden="false" customHeight="true" outlineLevel="0" collapsed="false">
      <c r="A114" s="121"/>
      <c r="B114" s="122"/>
      <c r="C114" s="121"/>
      <c r="D114" s="140"/>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ustomFormat="false" ht="13.5" hidden="false" customHeight="true" outlineLevel="0" collapsed="false">
      <c r="A115" s="121"/>
      <c r="B115" s="122"/>
      <c r="C115" s="121"/>
      <c r="D115" s="140"/>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ustomFormat="false" ht="13.5" hidden="false" customHeight="true" outlineLevel="0" collapsed="false">
      <c r="A116" s="121"/>
      <c r="B116" s="122"/>
      <c r="C116" s="121"/>
      <c r="D116" s="140"/>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ustomFormat="false" ht="13.5" hidden="false" customHeight="true" outlineLevel="0" collapsed="false">
      <c r="A117" s="121"/>
      <c r="B117" s="122"/>
      <c r="C117" s="121"/>
      <c r="D117" s="140"/>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ustomFormat="false" ht="13.5" hidden="false" customHeight="true" outlineLevel="0" collapsed="false">
      <c r="A118" s="121"/>
      <c r="B118" s="122"/>
      <c r="C118" s="121"/>
      <c r="D118" s="140"/>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ustomFormat="false" ht="13.5" hidden="false" customHeight="true" outlineLevel="0" collapsed="false">
      <c r="A119" s="121"/>
      <c r="B119" s="122"/>
      <c r="C119" s="121"/>
      <c r="D119" s="140"/>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ustomFormat="false" ht="13.5" hidden="false" customHeight="true" outlineLevel="0" collapsed="false">
      <c r="A120" s="121"/>
      <c r="B120" s="122"/>
      <c r="C120" s="121"/>
      <c r="D120" s="140"/>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ustomFormat="false" ht="13.5" hidden="false" customHeight="true" outlineLevel="0" collapsed="false">
      <c r="A121" s="121"/>
      <c r="B121" s="122"/>
      <c r="C121" s="121"/>
      <c r="D121" s="140"/>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ustomFormat="false" ht="13.5" hidden="false" customHeight="true" outlineLevel="0" collapsed="false">
      <c r="A122" s="121"/>
      <c r="B122" s="122"/>
      <c r="C122" s="121"/>
      <c r="D122" s="140"/>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ustomFormat="false" ht="13.5" hidden="false" customHeight="true" outlineLevel="0" collapsed="false">
      <c r="A123" s="121"/>
      <c r="B123" s="122"/>
      <c r="C123" s="121"/>
      <c r="D123" s="140"/>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ustomFormat="false" ht="13.5" hidden="false" customHeight="true" outlineLevel="0" collapsed="false">
      <c r="A124" s="121"/>
      <c r="B124" s="122"/>
      <c r="C124" s="121"/>
      <c r="D124" s="140"/>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ustomFormat="false" ht="13.5" hidden="false" customHeight="true" outlineLevel="0" collapsed="false">
      <c r="A125" s="121"/>
      <c r="B125" s="122"/>
      <c r="C125" s="121"/>
      <c r="D125" s="140"/>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ustomFormat="false" ht="13.5" hidden="false" customHeight="true" outlineLevel="0" collapsed="false">
      <c r="A126" s="121"/>
      <c r="B126" s="122"/>
      <c r="C126" s="121"/>
      <c r="D126" s="140"/>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ustomFormat="false" ht="13.5" hidden="false" customHeight="true" outlineLevel="0" collapsed="false">
      <c r="A127" s="121"/>
      <c r="B127" s="122"/>
      <c r="C127" s="121"/>
      <c r="D127" s="140"/>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ustomFormat="false" ht="13.5" hidden="false" customHeight="true" outlineLevel="0" collapsed="false">
      <c r="A128" s="121"/>
      <c r="B128" s="122"/>
      <c r="C128" s="121"/>
      <c r="D128" s="140"/>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ustomFormat="false" ht="13.5" hidden="false" customHeight="true" outlineLevel="0" collapsed="false">
      <c r="A129" s="121"/>
      <c r="B129" s="122"/>
      <c r="C129" s="121"/>
      <c r="D129" s="140"/>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ustomFormat="false" ht="13.5" hidden="false" customHeight="true" outlineLevel="0" collapsed="false">
      <c r="A130" s="121"/>
      <c r="B130" s="122"/>
      <c r="C130" s="121"/>
      <c r="D130" s="140"/>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ustomFormat="false" ht="13.5" hidden="false" customHeight="true" outlineLevel="0" collapsed="false">
      <c r="A131" s="121"/>
      <c r="B131" s="122"/>
      <c r="C131" s="121"/>
      <c r="D131" s="140"/>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ustomFormat="false" ht="13.5" hidden="false" customHeight="true" outlineLevel="0" collapsed="false">
      <c r="A132" s="121"/>
      <c r="B132" s="122"/>
      <c r="C132" s="121"/>
      <c r="D132" s="140"/>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ustomFormat="false" ht="13.5" hidden="false" customHeight="true" outlineLevel="0" collapsed="false">
      <c r="A133" s="121"/>
      <c r="B133" s="122"/>
      <c r="C133" s="121"/>
      <c r="D133" s="140"/>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ustomFormat="false" ht="13.5" hidden="false" customHeight="true" outlineLevel="0" collapsed="false">
      <c r="A134" s="121"/>
      <c r="B134" s="122"/>
      <c r="C134" s="121"/>
      <c r="D134" s="140"/>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ustomFormat="false" ht="13.5" hidden="false" customHeight="true" outlineLevel="0" collapsed="false">
      <c r="A135" s="121"/>
      <c r="B135" s="122"/>
      <c r="C135" s="121"/>
      <c r="D135" s="140"/>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ustomFormat="false" ht="13.5" hidden="false" customHeight="true" outlineLevel="0" collapsed="false">
      <c r="A136" s="121"/>
      <c r="B136" s="122"/>
      <c r="C136" s="121"/>
      <c r="D136" s="140"/>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ustomFormat="false" ht="13.5" hidden="false" customHeight="true" outlineLevel="0" collapsed="false">
      <c r="A137" s="121"/>
      <c r="B137" s="122"/>
      <c r="C137" s="121"/>
      <c r="D137" s="140"/>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ustomFormat="false" ht="13.5" hidden="false" customHeight="true" outlineLevel="0" collapsed="false">
      <c r="A138" s="121"/>
      <c r="B138" s="122"/>
      <c r="C138" s="121"/>
      <c r="D138" s="140"/>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ustomFormat="false" ht="13.5" hidden="false" customHeight="true" outlineLevel="0" collapsed="false">
      <c r="A139" s="121"/>
      <c r="B139" s="122"/>
      <c r="C139" s="121"/>
      <c r="D139" s="140"/>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ustomFormat="false" ht="13.5" hidden="false" customHeight="true" outlineLevel="0" collapsed="false">
      <c r="A140" s="121"/>
      <c r="B140" s="122"/>
      <c r="C140" s="121"/>
      <c r="D140" s="140"/>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ustomFormat="false" ht="13.5" hidden="false" customHeight="true" outlineLevel="0" collapsed="false">
      <c r="A141" s="121"/>
      <c r="B141" s="122"/>
      <c r="C141" s="121"/>
      <c r="D141" s="140"/>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ustomFormat="false" ht="13.5" hidden="false" customHeight="true" outlineLevel="0" collapsed="false">
      <c r="A142" s="121"/>
      <c r="B142" s="122"/>
      <c r="C142" s="121"/>
      <c r="D142" s="140"/>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ustomFormat="false" ht="13.5" hidden="false" customHeight="true" outlineLevel="0" collapsed="false">
      <c r="A143" s="121"/>
      <c r="B143" s="122"/>
      <c r="C143" s="121"/>
      <c r="D143" s="140"/>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ustomFormat="false" ht="13.5" hidden="false" customHeight="true" outlineLevel="0" collapsed="false">
      <c r="A144" s="121"/>
      <c r="B144" s="122"/>
      <c r="C144" s="121"/>
      <c r="D144" s="140"/>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ustomFormat="false" ht="13.5" hidden="false" customHeight="true" outlineLevel="0" collapsed="false">
      <c r="A145" s="121"/>
      <c r="B145" s="122"/>
      <c r="C145" s="121"/>
      <c r="D145" s="140"/>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ustomFormat="false" ht="13.5" hidden="false" customHeight="true" outlineLevel="0" collapsed="false">
      <c r="A146" s="121"/>
      <c r="B146" s="122"/>
      <c r="C146" s="121"/>
      <c r="D146" s="140"/>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ustomFormat="false" ht="13.5" hidden="false" customHeight="true" outlineLevel="0" collapsed="false">
      <c r="A147" s="121"/>
      <c r="B147" s="122"/>
      <c r="C147" s="121"/>
      <c r="D147" s="140"/>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ustomFormat="false" ht="13.5" hidden="false" customHeight="true" outlineLevel="0" collapsed="false">
      <c r="A148" s="121"/>
      <c r="B148" s="122"/>
      <c r="C148" s="121"/>
      <c r="D148" s="140"/>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ustomFormat="false" ht="13.5" hidden="false" customHeight="true" outlineLevel="0" collapsed="false">
      <c r="A149" s="121"/>
      <c r="B149" s="122"/>
      <c r="C149" s="121"/>
      <c r="D149" s="140"/>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ustomFormat="false" ht="13.5" hidden="false" customHeight="true" outlineLevel="0" collapsed="false">
      <c r="A150" s="121"/>
      <c r="B150" s="122"/>
      <c r="C150" s="121"/>
      <c r="D150" s="140"/>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ustomFormat="false" ht="13.5" hidden="false" customHeight="true" outlineLevel="0" collapsed="false">
      <c r="A151" s="121"/>
      <c r="B151" s="122"/>
      <c r="C151" s="121"/>
      <c r="D151" s="140"/>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ustomFormat="false" ht="13.5" hidden="false" customHeight="true" outlineLevel="0" collapsed="false">
      <c r="A152" s="121"/>
      <c r="B152" s="122"/>
      <c r="C152" s="121"/>
      <c r="D152" s="140"/>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ustomFormat="false" ht="13.5" hidden="false" customHeight="true" outlineLevel="0" collapsed="false">
      <c r="A153" s="121"/>
      <c r="B153" s="122"/>
      <c r="C153" s="121"/>
      <c r="D153" s="140"/>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ustomFormat="false" ht="13.5" hidden="false" customHeight="true" outlineLevel="0" collapsed="false">
      <c r="A154" s="121"/>
      <c r="B154" s="122"/>
      <c r="C154" s="121"/>
      <c r="D154" s="140"/>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ustomFormat="false" ht="13.5" hidden="false" customHeight="true" outlineLevel="0" collapsed="false">
      <c r="A155" s="121"/>
      <c r="B155" s="122"/>
      <c r="C155" s="121"/>
      <c r="D155" s="140"/>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ustomFormat="false" ht="13.5" hidden="false" customHeight="true" outlineLevel="0" collapsed="false">
      <c r="A156" s="121"/>
      <c r="B156" s="122"/>
      <c r="C156" s="121"/>
      <c r="D156" s="140"/>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ustomFormat="false" ht="13.5" hidden="false" customHeight="true" outlineLevel="0" collapsed="false">
      <c r="A157" s="121"/>
      <c r="B157" s="122"/>
      <c r="C157" s="121"/>
      <c r="D157" s="140"/>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ustomFormat="false" ht="13.5" hidden="false" customHeight="true" outlineLevel="0" collapsed="false">
      <c r="A158" s="121"/>
      <c r="B158" s="122"/>
      <c r="C158" s="121"/>
      <c r="D158" s="140"/>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ustomFormat="false" ht="13.5" hidden="false" customHeight="true" outlineLevel="0" collapsed="false">
      <c r="A159" s="121"/>
      <c r="B159" s="122"/>
      <c r="C159" s="121"/>
      <c r="D159" s="140"/>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ustomFormat="false" ht="13.5" hidden="false" customHeight="true" outlineLevel="0" collapsed="false">
      <c r="A160" s="121"/>
      <c r="B160" s="122"/>
      <c r="C160" s="121"/>
      <c r="D160" s="140"/>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ustomFormat="false" ht="13.5" hidden="false" customHeight="true" outlineLevel="0" collapsed="false">
      <c r="A161" s="121"/>
      <c r="B161" s="122"/>
      <c r="C161" s="121"/>
      <c r="D161" s="140"/>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ustomFormat="false" ht="13.5" hidden="false" customHeight="true" outlineLevel="0" collapsed="false">
      <c r="A162" s="121"/>
      <c r="B162" s="122"/>
      <c r="C162" s="121"/>
      <c r="D162" s="140"/>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ustomFormat="false" ht="13.5" hidden="false" customHeight="true" outlineLevel="0" collapsed="false">
      <c r="A163" s="121"/>
      <c r="B163" s="122"/>
      <c r="C163" s="121"/>
      <c r="D163" s="140"/>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ustomFormat="false" ht="13.5" hidden="false" customHeight="true" outlineLevel="0" collapsed="false">
      <c r="A164" s="121"/>
      <c r="B164" s="122"/>
      <c r="C164" s="121"/>
      <c r="D164" s="140"/>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ustomFormat="false" ht="13.5" hidden="false" customHeight="true" outlineLevel="0" collapsed="false">
      <c r="A165" s="121"/>
      <c r="B165" s="122"/>
      <c r="C165" s="121"/>
      <c r="D165" s="140"/>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ustomFormat="false" ht="13.5" hidden="false" customHeight="true" outlineLevel="0" collapsed="false">
      <c r="A166" s="121"/>
      <c r="B166" s="122"/>
      <c r="C166" s="121"/>
      <c r="D166" s="140"/>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ustomFormat="false" ht="13.5" hidden="false" customHeight="true" outlineLevel="0" collapsed="false">
      <c r="A167" s="121"/>
      <c r="B167" s="122"/>
      <c r="C167" s="121"/>
      <c r="D167" s="140"/>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ustomFormat="false" ht="13.5" hidden="false" customHeight="true" outlineLevel="0" collapsed="false">
      <c r="A168" s="121"/>
      <c r="B168" s="122"/>
      <c r="C168" s="121"/>
      <c r="D168" s="140"/>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ustomFormat="false" ht="13.5" hidden="false" customHeight="true" outlineLevel="0" collapsed="false">
      <c r="A169" s="121"/>
      <c r="B169" s="122"/>
      <c r="C169" s="121"/>
      <c r="D169" s="140"/>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ustomFormat="false" ht="13.5" hidden="false" customHeight="true" outlineLevel="0" collapsed="false">
      <c r="A170" s="121"/>
      <c r="B170" s="122"/>
      <c r="C170" s="121"/>
      <c r="D170" s="140"/>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ustomFormat="false" ht="13.5" hidden="false" customHeight="true" outlineLevel="0" collapsed="false">
      <c r="A171" s="121"/>
      <c r="B171" s="122"/>
      <c r="C171" s="121"/>
      <c r="D171" s="140"/>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ustomFormat="false" ht="13.5" hidden="false" customHeight="true" outlineLevel="0" collapsed="false">
      <c r="A172" s="121"/>
      <c r="B172" s="122"/>
      <c r="C172" s="121"/>
      <c r="D172" s="140"/>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ustomFormat="false" ht="13.5" hidden="false" customHeight="true" outlineLevel="0" collapsed="false">
      <c r="A173" s="121"/>
      <c r="B173" s="122"/>
      <c r="C173" s="121"/>
      <c r="D173" s="140"/>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ustomFormat="false" ht="13.5" hidden="false" customHeight="true" outlineLevel="0" collapsed="false">
      <c r="A174" s="121"/>
      <c r="B174" s="122"/>
      <c r="C174" s="121"/>
      <c r="D174" s="140"/>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ustomFormat="false" ht="13.5" hidden="false" customHeight="true" outlineLevel="0" collapsed="false">
      <c r="A175" s="121"/>
      <c r="B175" s="122"/>
      <c r="C175" s="121"/>
      <c r="D175" s="140"/>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ustomFormat="false" ht="13.5" hidden="false" customHeight="true" outlineLevel="0" collapsed="false">
      <c r="A176" s="121"/>
      <c r="B176" s="122"/>
      <c r="C176" s="121"/>
      <c r="D176" s="140"/>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ustomFormat="false" ht="13.5" hidden="false" customHeight="true" outlineLevel="0" collapsed="false">
      <c r="A177" s="121"/>
      <c r="B177" s="122"/>
      <c r="C177" s="121"/>
      <c r="D177" s="140"/>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ustomFormat="false" ht="13.5" hidden="false" customHeight="true" outlineLevel="0" collapsed="false">
      <c r="A178" s="121"/>
      <c r="B178" s="122"/>
      <c r="C178" s="121"/>
      <c r="D178" s="140"/>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ustomFormat="false" ht="13.5" hidden="false" customHeight="true" outlineLevel="0" collapsed="false">
      <c r="A179" s="121"/>
      <c r="B179" s="122"/>
      <c r="C179" s="121"/>
      <c r="D179" s="140"/>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ustomFormat="false" ht="13.5" hidden="false" customHeight="true" outlineLevel="0" collapsed="false">
      <c r="A180" s="121"/>
      <c r="B180" s="122"/>
      <c r="C180" s="121"/>
      <c r="D180" s="140"/>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ustomFormat="false" ht="13.5" hidden="false" customHeight="true" outlineLevel="0" collapsed="false">
      <c r="A181" s="121"/>
      <c r="B181" s="122"/>
      <c r="C181" s="121"/>
      <c r="D181" s="140"/>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ustomFormat="false" ht="13.5" hidden="false" customHeight="true" outlineLevel="0" collapsed="false">
      <c r="A182" s="121"/>
      <c r="B182" s="122"/>
      <c r="C182" s="121"/>
      <c r="D182" s="140"/>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ustomFormat="false" ht="13.5" hidden="false" customHeight="true" outlineLevel="0" collapsed="false">
      <c r="A183" s="121"/>
      <c r="B183" s="122"/>
      <c r="C183" s="121"/>
      <c r="D183" s="140"/>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ustomFormat="false" ht="13.5" hidden="false" customHeight="true" outlineLevel="0" collapsed="false">
      <c r="A184" s="121"/>
      <c r="B184" s="122"/>
      <c r="C184" s="121"/>
      <c r="D184" s="140"/>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ustomFormat="false" ht="13.5" hidden="false" customHeight="true" outlineLevel="0" collapsed="false">
      <c r="A185" s="121"/>
      <c r="B185" s="122"/>
      <c r="C185" s="121"/>
      <c r="D185" s="140"/>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ustomFormat="false" ht="13.5" hidden="false" customHeight="true" outlineLevel="0" collapsed="false">
      <c r="A186" s="121"/>
      <c r="B186" s="122"/>
      <c r="C186" s="121"/>
      <c r="D186" s="140"/>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ustomFormat="false" ht="13.5" hidden="false" customHeight="true" outlineLevel="0" collapsed="false">
      <c r="A187" s="121"/>
      <c r="B187" s="122"/>
      <c r="C187" s="121"/>
      <c r="D187" s="140"/>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ustomFormat="false" ht="13.5" hidden="false" customHeight="true" outlineLevel="0" collapsed="false">
      <c r="A188" s="121"/>
      <c r="B188" s="122"/>
      <c r="C188" s="121"/>
      <c r="D188" s="140"/>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ustomFormat="false" ht="13.5" hidden="false" customHeight="true" outlineLevel="0" collapsed="false">
      <c r="A189" s="121"/>
      <c r="B189" s="122"/>
      <c r="C189" s="121"/>
      <c r="D189" s="140"/>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ustomFormat="false" ht="13.5" hidden="false" customHeight="true" outlineLevel="0" collapsed="false">
      <c r="A190" s="121"/>
      <c r="B190" s="122"/>
      <c r="C190" s="121"/>
      <c r="D190" s="140"/>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ustomFormat="false" ht="13.5" hidden="false" customHeight="true" outlineLevel="0" collapsed="false">
      <c r="A191" s="121"/>
      <c r="B191" s="122"/>
      <c r="C191" s="121"/>
      <c r="D191" s="140"/>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ustomFormat="false" ht="13.5" hidden="false" customHeight="true" outlineLevel="0" collapsed="false">
      <c r="A192" s="121"/>
      <c r="B192" s="122"/>
      <c r="C192" s="121"/>
      <c r="D192" s="140"/>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ustomFormat="false" ht="13.5" hidden="false" customHeight="true" outlineLevel="0" collapsed="false">
      <c r="A193" s="121"/>
      <c r="B193" s="122"/>
      <c r="C193" s="121"/>
      <c r="D193" s="140"/>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ustomFormat="false" ht="13.5" hidden="false" customHeight="true" outlineLevel="0" collapsed="false">
      <c r="A194" s="121"/>
      <c r="B194" s="122"/>
      <c r="C194" s="121"/>
      <c r="D194" s="140"/>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ustomFormat="false" ht="13.5" hidden="false" customHeight="true" outlineLevel="0" collapsed="false">
      <c r="A195" s="121"/>
      <c r="B195" s="122"/>
      <c r="C195" s="121"/>
      <c r="D195" s="140"/>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ustomFormat="false" ht="13.5" hidden="false" customHeight="true" outlineLevel="0" collapsed="false">
      <c r="A196" s="121"/>
      <c r="B196" s="122"/>
      <c r="C196" s="121"/>
      <c r="D196" s="140"/>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ustomFormat="false" ht="13.5" hidden="false" customHeight="true" outlineLevel="0" collapsed="false">
      <c r="A197" s="121"/>
      <c r="B197" s="122"/>
      <c r="C197" s="121"/>
      <c r="D197" s="140"/>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ustomFormat="false" ht="13.5" hidden="false" customHeight="true" outlineLevel="0" collapsed="false">
      <c r="A198" s="121"/>
      <c r="B198" s="122"/>
      <c r="C198" s="121"/>
      <c r="D198" s="140"/>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ustomFormat="false" ht="13.5" hidden="false" customHeight="true" outlineLevel="0" collapsed="false">
      <c r="A199" s="121"/>
      <c r="B199" s="122"/>
      <c r="C199" s="121"/>
      <c r="D199" s="140"/>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ustomFormat="false" ht="13.5" hidden="false" customHeight="true" outlineLevel="0" collapsed="false">
      <c r="A200" s="121"/>
      <c r="B200" s="122"/>
      <c r="C200" s="121"/>
      <c r="D200" s="140"/>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ustomFormat="false" ht="13.5" hidden="false" customHeight="true" outlineLevel="0" collapsed="false">
      <c r="A201" s="121"/>
      <c r="B201" s="122"/>
      <c r="C201" s="121"/>
      <c r="D201" s="140"/>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ustomFormat="false" ht="13.5" hidden="false" customHeight="true" outlineLevel="0" collapsed="false">
      <c r="A202" s="121"/>
      <c r="B202" s="122"/>
      <c r="C202" s="121"/>
      <c r="D202" s="140"/>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ustomFormat="false" ht="13.5" hidden="false" customHeight="true" outlineLevel="0" collapsed="false">
      <c r="A203" s="121"/>
      <c r="B203" s="122"/>
      <c r="C203" s="121"/>
      <c r="D203" s="140"/>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ustomFormat="false" ht="13.5" hidden="false" customHeight="true" outlineLevel="0" collapsed="false">
      <c r="A204" s="121"/>
      <c r="B204" s="122"/>
      <c r="C204" s="121"/>
      <c r="D204" s="140"/>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ustomFormat="false" ht="13.5" hidden="false" customHeight="true" outlineLevel="0" collapsed="false">
      <c r="A205" s="121"/>
      <c r="B205" s="122"/>
      <c r="C205" s="121"/>
      <c r="D205" s="140"/>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ustomFormat="false" ht="13.5" hidden="false" customHeight="true" outlineLevel="0" collapsed="false">
      <c r="A206" s="121"/>
      <c r="B206" s="122"/>
      <c r="C206" s="121"/>
      <c r="D206" s="140"/>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ustomFormat="false" ht="13.5" hidden="false" customHeight="true" outlineLevel="0" collapsed="false">
      <c r="A207" s="121"/>
      <c r="B207" s="122"/>
      <c r="C207" s="121"/>
      <c r="D207" s="140"/>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ustomFormat="false" ht="13.5" hidden="false" customHeight="true" outlineLevel="0" collapsed="false">
      <c r="A208" s="121"/>
      <c r="B208" s="122"/>
      <c r="C208" s="121"/>
      <c r="D208" s="140"/>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ustomFormat="false" ht="13.5" hidden="false" customHeight="true" outlineLevel="0" collapsed="false">
      <c r="A209" s="121"/>
      <c r="B209" s="122"/>
      <c r="C209" s="121"/>
      <c r="D209" s="140"/>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ustomFormat="false" ht="13.5" hidden="false" customHeight="true" outlineLevel="0" collapsed="false">
      <c r="A210" s="121"/>
      <c r="B210" s="122"/>
      <c r="C210" s="121"/>
      <c r="D210" s="140"/>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ustomFormat="false" ht="13.5" hidden="false" customHeight="true" outlineLevel="0" collapsed="false">
      <c r="A211" s="121"/>
      <c r="B211" s="122"/>
      <c r="C211" s="121"/>
      <c r="D211" s="140"/>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ustomFormat="false" ht="13.5" hidden="false" customHeight="true" outlineLevel="0" collapsed="false">
      <c r="A212" s="121"/>
      <c r="B212" s="122"/>
      <c r="C212" s="121"/>
      <c r="D212" s="140"/>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ustomFormat="false" ht="13.5" hidden="false" customHeight="true" outlineLevel="0" collapsed="false">
      <c r="A213" s="121"/>
      <c r="B213" s="122"/>
      <c r="C213" s="121"/>
      <c r="D213" s="140"/>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ustomFormat="false" ht="13.5" hidden="false" customHeight="true" outlineLevel="0" collapsed="false">
      <c r="A214" s="121"/>
      <c r="B214" s="122"/>
      <c r="C214" s="121"/>
      <c r="D214" s="140"/>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ustomFormat="false" ht="13.5" hidden="false" customHeight="true" outlineLevel="0" collapsed="false">
      <c r="A215" s="121"/>
      <c r="B215" s="122"/>
      <c r="C215" s="121"/>
      <c r="D215" s="140"/>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ustomFormat="false" ht="13.5" hidden="false" customHeight="true" outlineLevel="0" collapsed="false">
      <c r="A216" s="121"/>
      <c r="B216" s="122"/>
      <c r="C216" s="121"/>
      <c r="D216" s="140"/>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ustomFormat="false" ht="13.5" hidden="false" customHeight="true" outlineLevel="0" collapsed="false">
      <c r="A217" s="121"/>
      <c r="B217" s="122"/>
      <c r="C217" s="121"/>
      <c r="D217" s="140"/>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ustomFormat="false" ht="13.5" hidden="false" customHeight="true" outlineLevel="0" collapsed="false">
      <c r="A218" s="121"/>
      <c r="B218" s="122"/>
      <c r="C218" s="121"/>
      <c r="D218" s="140"/>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ustomFormat="false" ht="13.5" hidden="false" customHeight="true" outlineLevel="0" collapsed="false">
      <c r="A219" s="121"/>
      <c r="B219" s="122"/>
      <c r="C219" s="121"/>
      <c r="D219" s="140"/>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ustomFormat="false" ht="13.5" hidden="false" customHeight="true" outlineLevel="0" collapsed="false">
      <c r="A220" s="121"/>
      <c r="B220" s="122"/>
      <c r="C220" s="121"/>
      <c r="D220" s="140"/>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ustomFormat="false" ht="13.5" hidden="false" customHeight="true" outlineLevel="0" collapsed="false">
      <c r="A221" s="121"/>
      <c r="B221" s="122"/>
      <c r="C221" s="121"/>
      <c r="D221" s="140"/>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ustomFormat="false" ht="13.5" hidden="false" customHeight="true" outlineLevel="0" collapsed="false">
      <c r="A222" s="121"/>
      <c r="B222" s="122"/>
      <c r="C222" s="121"/>
      <c r="D222" s="140"/>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ustomFormat="false" ht="13.5" hidden="false" customHeight="true" outlineLevel="0" collapsed="false">
      <c r="A223" s="121"/>
      <c r="B223" s="122"/>
      <c r="C223" s="121"/>
      <c r="D223" s="140"/>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ustomFormat="false" ht="13.5" hidden="false" customHeight="true" outlineLevel="0" collapsed="false">
      <c r="A224" s="121"/>
      <c r="B224" s="122"/>
      <c r="C224" s="121"/>
      <c r="D224" s="140"/>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ustomFormat="false" ht="13.5" hidden="false" customHeight="true" outlineLevel="0" collapsed="false">
      <c r="A225" s="121"/>
      <c r="B225" s="122"/>
      <c r="C225" s="121"/>
      <c r="D225" s="140"/>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ustomFormat="false" ht="13.5" hidden="false" customHeight="true" outlineLevel="0" collapsed="false">
      <c r="A226" s="121"/>
      <c r="B226" s="122"/>
      <c r="C226" s="121"/>
      <c r="D226" s="140"/>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ustomFormat="false" ht="13.5" hidden="false" customHeight="true" outlineLevel="0" collapsed="false">
      <c r="A227" s="121"/>
      <c r="B227" s="122"/>
      <c r="C227" s="121"/>
      <c r="D227" s="140"/>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ustomFormat="false" ht="13.5" hidden="false" customHeight="true" outlineLevel="0" collapsed="false">
      <c r="A228" s="121"/>
      <c r="B228" s="122"/>
      <c r="C228" s="121"/>
      <c r="D228" s="140"/>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ustomFormat="false" ht="13.5" hidden="false" customHeight="true" outlineLevel="0" collapsed="false">
      <c r="A229" s="121"/>
      <c r="B229" s="122"/>
      <c r="C229" s="121"/>
      <c r="D229" s="140"/>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ustomFormat="false" ht="13.5" hidden="false" customHeight="true" outlineLevel="0" collapsed="false">
      <c r="A230" s="121"/>
      <c r="B230" s="122"/>
      <c r="C230" s="121"/>
      <c r="D230" s="140"/>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ustomFormat="false" ht="13.5" hidden="false" customHeight="true" outlineLevel="0" collapsed="false">
      <c r="A231" s="121"/>
      <c r="B231" s="122"/>
      <c r="C231" s="121"/>
      <c r="D231" s="140"/>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ustomFormat="false" ht="13.5" hidden="false" customHeight="true" outlineLevel="0" collapsed="false">
      <c r="A232" s="121"/>
      <c r="B232" s="122"/>
      <c r="C232" s="121"/>
      <c r="D232" s="140"/>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ustomFormat="false" ht="13.5" hidden="false" customHeight="true" outlineLevel="0" collapsed="false">
      <c r="A233" s="121"/>
      <c r="B233" s="122"/>
      <c r="C233" s="121"/>
      <c r="D233" s="140"/>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ustomFormat="false" ht="13.5" hidden="false" customHeight="true" outlineLevel="0" collapsed="false">
      <c r="A234" s="121"/>
      <c r="B234" s="122"/>
      <c r="C234" s="121"/>
      <c r="D234" s="140"/>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ustomFormat="false" ht="13.5" hidden="false" customHeight="true" outlineLevel="0" collapsed="false">
      <c r="A235" s="121"/>
      <c r="B235" s="122"/>
      <c r="C235" s="121"/>
      <c r="D235" s="140"/>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ustomFormat="false" ht="13.5" hidden="false" customHeight="true" outlineLevel="0" collapsed="false">
      <c r="A236" s="121"/>
      <c r="B236" s="122"/>
      <c r="C236" s="121"/>
      <c r="D236" s="140"/>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ustomFormat="false" ht="13.5" hidden="false" customHeight="true" outlineLevel="0" collapsed="false">
      <c r="A237" s="121"/>
      <c r="B237" s="122"/>
      <c r="C237" s="121"/>
      <c r="D237" s="140"/>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ustomFormat="false" ht="13.5" hidden="false" customHeight="true" outlineLevel="0" collapsed="false">
      <c r="A238" s="121"/>
      <c r="B238" s="122"/>
      <c r="C238" s="121"/>
      <c r="D238" s="140"/>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ustomFormat="false" ht="13.5" hidden="false" customHeight="true" outlineLevel="0" collapsed="false">
      <c r="A239" s="121"/>
      <c r="B239" s="122"/>
      <c r="C239" s="121"/>
      <c r="D239" s="140"/>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ustomFormat="false" ht="13.5" hidden="false" customHeight="true" outlineLevel="0" collapsed="false">
      <c r="A240" s="121"/>
      <c r="B240" s="122"/>
      <c r="C240" s="121"/>
      <c r="D240" s="140"/>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ustomFormat="false" ht="13.5" hidden="false" customHeight="true" outlineLevel="0" collapsed="false">
      <c r="A241" s="121"/>
      <c r="B241" s="122"/>
      <c r="C241" s="121"/>
      <c r="D241" s="140"/>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ustomFormat="false" ht="13.5" hidden="false" customHeight="true" outlineLevel="0" collapsed="false">
      <c r="A242" s="121"/>
      <c r="B242" s="122"/>
      <c r="C242" s="121"/>
      <c r="D242" s="140"/>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ustomFormat="false" ht="13.5" hidden="false" customHeight="true" outlineLevel="0" collapsed="false">
      <c r="A243" s="121"/>
      <c r="B243" s="122"/>
      <c r="C243" s="121"/>
      <c r="D243" s="140"/>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ustomFormat="false" ht="13.5" hidden="false" customHeight="true" outlineLevel="0" collapsed="false">
      <c r="A244" s="121"/>
      <c r="B244" s="122"/>
      <c r="C244" s="121"/>
      <c r="D244" s="140"/>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ustomFormat="false" ht="13.5" hidden="false" customHeight="true" outlineLevel="0" collapsed="false">
      <c r="A245" s="121"/>
      <c r="B245" s="122"/>
      <c r="C245" s="121"/>
      <c r="D245" s="140"/>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ustomFormat="false" ht="13.5" hidden="false" customHeight="true" outlineLevel="0" collapsed="false">
      <c r="A246" s="121"/>
      <c r="B246" s="122"/>
      <c r="C246" s="121"/>
      <c r="D246" s="140"/>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ustomFormat="false" ht="13.5" hidden="false" customHeight="true" outlineLevel="0" collapsed="false">
      <c r="A247" s="121"/>
      <c r="B247" s="122"/>
      <c r="C247" s="121"/>
      <c r="D247" s="140"/>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ustomFormat="false" ht="13.5" hidden="false" customHeight="true" outlineLevel="0" collapsed="false">
      <c r="A248" s="121"/>
      <c r="B248" s="122"/>
      <c r="C248" s="121"/>
      <c r="D248" s="140"/>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ustomFormat="false" ht="13.5" hidden="false" customHeight="true" outlineLevel="0" collapsed="false">
      <c r="A249" s="121"/>
      <c r="B249" s="122"/>
      <c r="C249" s="121"/>
      <c r="D249" s="140"/>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ustomFormat="false" ht="13.5" hidden="false" customHeight="true" outlineLevel="0" collapsed="false">
      <c r="A250" s="121"/>
      <c r="B250" s="122"/>
      <c r="C250" s="121"/>
      <c r="D250" s="140"/>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ustomFormat="false" ht="13.5" hidden="false" customHeight="true" outlineLevel="0" collapsed="false">
      <c r="A251" s="121"/>
      <c r="B251" s="122"/>
      <c r="C251" s="121"/>
      <c r="D251" s="140"/>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ustomFormat="false" ht="13.5" hidden="false" customHeight="true" outlineLevel="0" collapsed="false">
      <c r="A252" s="121"/>
      <c r="B252" s="122"/>
      <c r="C252" s="121"/>
      <c r="D252" s="140"/>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ustomFormat="false" ht="13.5" hidden="false" customHeight="true" outlineLevel="0" collapsed="false">
      <c r="A253" s="121"/>
      <c r="B253" s="122"/>
      <c r="C253" s="121"/>
      <c r="D253" s="140"/>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ustomFormat="false" ht="13.5" hidden="false" customHeight="true" outlineLevel="0" collapsed="false">
      <c r="A254" s="121"/>
      <c r="B254" s="122"/>
      <c r="C254" s="121"/>
      <c r="D254" s="140"/>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ustomFormat="false" ht="13.5" hidden="false" customHeight="true" outlineLevel="0" collapsed="false">
      <c r="A255" s="121"/>
      <c r="B255" s="122"/>
      <c r="C255" s="121"/>
      <c r="D255" s="140"/>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ustomFormat="false" ht="13.5" hidden="false" customHeight="true" outlineLevel="0" collapsed="false">
      <c r="A256" s="121"/>
      <c r="B256" s="122"/>
      <c r="C256" s="121"/>
      <c r="D256" s="140"/>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ustomFormat="false" ht="13.5" hidden="false" customHeight="true" outlineLevel="0" collapsed="false">
      <c r="A257" s="121"/>
      <c r="B257" s="122"/>
      <c r="C257" s="121"/>
      <c r="D257" s="140"/>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ustomFormat="false" ht="13.5" hidden="false" customHeight="true" outlineLevel="0" collapsed="false">
      <c r="A258" s="121"/>
      <c r="B258" s="122"/>
      <c r="C258" s="121"/>
      <c r="D258" s="140"/>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ustomFormat="false" ht="13.5" hidden="false" customHeight="true" outlineLevel="0" collapsed="false">
      <c r="A259" s="121"/>
      <c r="B259" s="122"/>
      <c r="C259" s="121"/>
      <c r="D259" s="140"/>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ustomFormat="false" ht="13.5" hidden="false" customHeight="true" outlineLevel="0" collapsed="false">
      <c r="A260" s="121"/>
      <c r="B260" s="122"/>
      <c r="C260" s="121"/>
      <c r="D260" s="140"/>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ustomFormat="false" ht="13.5" hidden="false" customHeight="true" outlineLevel="0" collapsed="false">
      <c r="A261" s="121"/>
      <c r="B261" s="122"/>
      <c r="C261" s="121"/>
      <c r="D261" s="140"/>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ustomFormat="false" ht="13.5" hidden="false" customHeight="true" outlineLevel="0" collapsed="false">
      <c r="A262" s="121"/>
      <c r="B262" s="122"/>
      <c r="C262" s="121"/>
      <c r="D262" s="140"/>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ustomFormat="false" ht="13.5" hidden="false" customHeight="true" outlineLevel="0" collapsed="false">
      <c r="A263" s="121"/>
      <c r="B263" s="122"/>
      <c r="C263" s="121"/>
      <c r="D263" s="140"/>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ustomFormat="false" ht="13.5" hidden="false" customHeight="true" outlineLevel="0" collapsed="false">
      <c r="A264" s="121"/>
      <c r="B264" s="122"/>
      <c r="C264" s="121"/>
      <c r="D264" s="140"/>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ustomFormat="false" ht="13.5" hidden="false" customHeight="true" outlineLevel="0" collapsed="false">
      <c r="A265" s="121"/>
      <c r="B265" s="122"/>
      <c r="C265" s="121"/>
      <c r="D265" s="140"/>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ustomFormat="false" ht="13.5" hidden="false" customHeight="true" outlineLevel="0" collapsed="false">
      <c r="A266" s="121"/>
      <c r="B266" s="122"/>
      <c r="C266" s="121"/>
      <c r="D266" s="140"/>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ustomFormat="false" ht="13.5" hidden="false" customHeight="true" outlineLevel="0" collapsed="false">
      <c r="A267" s="121"/>
      <c r="B267" s="122"/>
      <c r="C267" s="121"/>
      <c r="D267" s="140"/>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ustomFormat="false" ht="13.5" hidden="false" customHeight="true" outlineLevel="0" collapsed="false">
      <c r="A268" s="121"/>
      <c r="B268" s="122"/>
      <c r="C268" s="121"/>
      <c r="D268" s="140"/>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ustomFormat="false" ht="13.5" hidden="false" customHeight="true" outlineLevel="0" collapsed="false">
      <c r="A269" s="121"/>
      <c r="B269" s="122"/>
      <c r="C269" s="121"/>
      <c r="D269" s="140"/>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ustomFormat="false" ht="13.5" hidden="false" customHeight="true" outlineLevel="0" collapsed="false">
      <c r="A270" s="121"/>
      <c r="B270" s="122"/>
      <c r="C270" s="121"/>
      <c r="D270" s="140"/>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ustomFormat="false" ht="13.5" hidden="false" customHeight="true" outlineLevel="0" collapsed="false">
      <c r="A271" s="121"/>
      <c r="B271" s="122"/>
      <c r="C271" s="121"/>
      <c r="D271" s="140"/>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ustomFormat="false" ht="13.5" hidden="false" customHeight="true" outlineLevel="0" collapsed="false">
      <c r="A272" s="121"/>
      <c r="B272" s="122"/>
      <c r="C272" s="121"/>
      <c r="D272" s="140"/>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ustomFormat="false" ht="13.5" hidden="false" customHeight="true" outlineLevel="0" collapsed="false">
      <c r="A273" s="121"/>
      <c r="B273" s="122"/>
      <c r="C273" s="121"/>
      <c r="D273" s="140"/>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ustomFormat="false" ht="13.5" hidden="false" customHeight="true" outlineLevel="0" collapsed="false">
      <c r="A274" s="121"/>
      <c r="B274" s="122"/>
      <c r="C274" s="121"/>
      <c r="D274" s="140"/>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ustomFormat="false" ht="13.5" hidden="false" customHeight="true" outlineLevel="0" collapsed="false">
      <c r="A275" s="121"/>
      <c r="B275" s="122"/>
      <c r="C275" s="121"/>
      <c r="D275" s="140"/>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ustomFormat="false" ht="13.5" hidden="false" customHeight="true" outlineLevel="0" collapsed="false">
      <c r="A276" s="121"/>
      <c r="B276" s="122"/>
      <c r="C276" s="121"/>
      <c r="D276" s="140"/>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ustomFormat="false" ht="13.5" hidden="false" customHeight="true" outlineLevel="0" collapsed="false">
      <c r="A277" s="121"/>
      <c r="B277" s="122"/>
      <c r="C277" s="121"/>
      <c r="D277" s="140"/>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ustomFormat="false" ht="13.5" hidden="false" customHeight="true" outlineLevel="0" collapsed="false">
      <c r="A278" s="121"/>
      <c r="B278" s="122"/>
      <c r="C278" s="121"/>
      <c r="D278" s="140"/>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ustomFormat="false" ht="13.5" hidden="false" customHeight="true" outlineLevel="0" collapsed="false">
      <c r="A279" s="121"/>
      <c r="B279" s="122"/>
      <c r="C279" s="121"/>
      <c r="D279" s="140"/>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ustomFormat="false" ht="13.5" hidden="false" customHeight="true" outlineLevel="0" collapsed="false">
      <c r="A280" s="121"/>
      <c r="B280" s="122"/>
      <c r="C280" s="121"/>
      <c r="D280" s="140"/>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ustomFormat="false" ht="13.5" hidden="false" customHeight="true" outlineLevel="0" collapsed="false">
      <c r="A281" s="121"/>
      <c r="B281" s="122"/>
      <c r="C281" s="121"/>
      <c r="D281" s="140"/>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ustomFormat="false" ht="13.5" hidden="false" customHeight="true" outlineLevel="0" collapsed="false">
      <c r="A282" s="121"/>
      <c r="B282" s="122"/>
      <c r="C282" s="121"/>
      <c r="D282" s="140"/>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ustomFormat="false" ht="13.5" hidden="false" customHeight="true" outlineLevel="0" collapsed="false">
      <c r="A283" s="121"/>
      <c r="B283" s="122"/>
      <c r="C283" s="121"/>
      <c r="D283" s="140"/>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ustomFormat="false" ht="13.5" hidden="false" customHeight="true" outlineLevel="0" collapsed="false">
      <c r="A284" s="121"/>
      <c r="B284" s="122"/>
      <c r="C284" s="121"/>
      <c r="D284" s="140"/>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ustomFormat="false" ht="13.5" hidden="false" customHeight="true" outlineLevel="0" collapsed="false">
      <c r="A285" s="121"/>
      <c r="B285" s="122"/>
      <c r="C285" s="121"/>
      <c r="D285" s="140"/>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ustomFormat="false" ht="13.5" hidden="false" customHeight="true" outlineLevel="0" collapsed="false">
      <c r="A286" s="121"/>
      <c r="B286" s="122"/>
      <c r="C286" s="121"/>
      <c r="D286" s="140"/>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ustomFormat="false" ht="13.5" hidden="false" customHeight="true" outlineLevel="0" collapsed="false">
      <c r="A287" s="121"/>
      <c r="B287" s="122"/>
      <c r="C287" s="121"/>
      <c r="D287" s="140"/>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ustomFormat="false" ht="13.5" hidden="false" customHeight="true" outlineLevel="0" collapsed="false">
      <c r="A288" s="121"/>
      <c r="B288" s="122"/>
      <c r="C288" s="121"/>
      <c r="D288" s="140"/>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ustomFormat="false" ht="13.5" hidden="false" customHeight="true" outlineLevel="0" collapsed="false">
      <c r="A289" s="121"/>
      <c r="B289" s="122"/>
      <c r="C289" s="121"/>
      <c r="D289" s="140"/>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ustomFormat="false" ht="13.5" hidden="false" customHeight="true" outlineLevel="0" collapsed="false">
      <c r="A290" s="121"/>
      <c r="B290" s="122"/>
      <c r="C290" s="121"/>
      <c r="D290" s="140"/>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ustomFormat="false" ht="13.5" hidden="false" customHeight="true" outlineLevel="0" collapsed="false">
      <c r="A291" s="121"/>
      <c r="B291" s="122"/>
      <c r="C291" s="121"/>
      <c r="D291" s="140"/>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ustomFormat="false" ht="13.5" hidden="false" customHeight="true" outlineLevel="0" collapsed="false">
      <c r="A292" s="121"/>
      <c r="B292" s="122"/>
      <c r="C292" s="121"/>
      <c r="D292" s="140"/>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ustomFormat="false" ht="13.5" hidden="false" customHeight="true" outlineLevel="0" collapsed="false">
      <c r="A293" s="121"/>
      <c r="B293" s="122"/>
      <c r="C293" s="121"/>
      <c r="D293" s="140"/>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ustomFormat="false" ht="13.5" hidden="false" customHeight="true" outlineLevel="0" collapsed="false">
      <c r="A294" s="121"/>
      <c r="B294" s="122"/>
      <c r="C294" s="121"/>
      <c r="D294" s="140"/>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ustomFormat="false" ht="13.5" hidden="false" customHeight="true" outlineLevel="0" collapsed="false">
      <c r="A295" s="121"/>
      <c r="B295" s="122"/>
      <c r="C295" s="121"/>
      <c r="D295" s="140"/>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ustomFormat="false" ht="13.5" hidden="false" customHeight="true" outlineLevel="0" collapsed="false">
      <c r="A296" s="121"/>
      <c r="B296" s="122"/>
      <c r="C296" s="121"/>
      <c r="D296" s="140"/>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ustomFormat="false" ht="13.5" hidden="false" customHeight="true" outlineLevel="0" collapsed="false">
      <c r="A297" s="121"/>
      <c r="B297" s="122"/>
      <c r="C297" s="121"/>
      <c r="D297" s="140"/>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ustomFormat="false" ht="13.5" hidden="false" customHeight="true" outlineLevel="0" collapsed="false">
      <c r="A298" s="121"/>
      <c r="B298" s="122"/>
      <c r="C298" s="121"/>
      <c r="D298" s="140"/>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ustomFormat="false" ht="13.5" hidden="false" customHeight="true" outlineLevel="0" collapsed="false">
      <c r="A299" s="121"/>
      <c r="B299" s="122"/>
      <c r="C299" s="121"/>
      <c r="D299" s="140"/>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ustomFormat="false" ht="13.5" hidden="false" customHeight="true" outlineLevel="0" collapsed="false">
      <c r="A300" s="121"/>
      <c r="B300" s="122"/>
      <c r="C300" s="121"/>
      <c r="D300" s="140"/>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ustomFormat="false" ht="13.5" hidden="false" customHeight="true" outlineLevel="0" collapsed="false">
      <c r="A301" s="121"/>
      <c r="B301" s="122"/>
      <c r="C301" s="121"/>
      <c r="D301" s="140"/>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ustomFormat="false" ht="13.5" hidden="false" customHeight="true" outlineLevel="0" collapsed="false">
      <c r="A302" s="121"/>
      <c r="B302" s="122"/>
      <c r="C302" s="121"/>
      <c r="D302" s="140"/>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ustomFormat="false" ht="13.5" hidden="false" customHeight="true" outlineLevel="0" collapsed="false">
      <c r="A303" s="121"/>
      <c r="B303" s="122"/>
      <c r="C303" s="121"/>
      <c r="D303" s="14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ustomFormat="false" ht="13.5" hidden="false" customHeight="true" outlineLevel="0" collapsed="false">
      <c r="A304" s="121"/>
      <c r="B304" s="122"/>
      <c r="C304" s="121"/>
      <c r="D304" s="14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ustomFormat="false" ht="13.5" hidden="false" customHeight="true" outlineLevel="0" collapsed="false">
      <c r="A305" s="121"/>
      <c r="B305" s="122"/>
      <c r="C305" s="121"/>
      <c r="D305" s="140"/>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ustomFormat="false" ht="13.5" hidden="false" customHeight="true" outlineLevel="0" collapsed="false">
      <c r="A306" s="121"/>
      <c r="B306" s="122"/>
      <c r="C306" s="121"/>
      <c r="D306" s="140"/>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ustomFormat="false" ht="13.5" hidden="false" customHeight="true" outlineLevel="0" collapsed="false">
      <c r="A307" s="121"/>
      <c r="B307" s="122"/>
      <c r="C307" s="121"/>
      <c r="D307" s="140"/>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ustomFormat="false" ht="13.5" hidden="false" customHeight="true" outlineLevel="0" collapsed="false">
      <c r="A308" s="121"/>
      <c r="B308" s="122"/>
      <c r="C308" s="121"/>
      <c r="D308" s="140"/>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ustomFormat="false" ht="13.5" hidden="false" customHeight="true" outlineLevel="0" collapsed="false">
      <c r="A309" s="121"/>
      <c r="B309" s="122"/>
      <c r="C309" s="121"/>
      <c r="D309" s="140"/>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ustomFormat="false" ht="13.5" hidden="false" customHeight="true" outlineLevel="0" collapsed="false">
      <c r="A310" s="121"/>
      <c r="B310" s="122"/>
      <c r="C310" s="121"/>
      <c r="D310" s="140"/>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ustomFormat="false" ht="13.5" hidden="false" customHeight="true" outlineLevel="0" collapsed="false">
      <c r="A311" s="121"/>
      <c r="B311" s="122"/>
      <c r="C311" s="121"/>
      <c r="D311" s="140"/>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ustomFormat="false" ht="13.5" hidden="false" customHeight="true" outlineLevel="0" collapsed="false">
      <c r="A312" s="121"/>
      <c r="B312" s="122"/>
      <c r="C312" s="121"/>
      <c r="D312" s="140"/>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ustomFormat="false" ht="13.5" hidden="false" customHeight="true" outlineLevel="0" collapsed="false">
      <c r="A313" s="121"/>
      <c r="B313" s="122"/>
      <c r="C313" s="121"/>
      <c r="D313" s="140"/>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ustomFormat="false" ht="13.5" hidden="false" customHeight="true" outlineLevel="0" collapsed="false">
      <c r="A314" s="121"/>
      <c r="B314" s="122"/>
      <c r="C314" s="121"/>
      <c r="D314" s="140"/>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ustomFormat="false" ht="13.5" hidden="false" customHeight="true" outlineLevel="0" collapsed="false">
      <c r="A315" s="121"/>
      <c r="B315" s="122"/>
      <c r="C315" s="121"/>
      <c r="D315" s="140"/>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ustomFormat="false" ht="13.5" hidden="false" customHeight="true" outlineLevel="0" collapsed="false">
      <c r="A316" s="121"/>
      <c r="B316" s="122"/>
      <c r="C316" s="121"/>
      <c r="D316" s="140"/>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ustomFormat="false" ht="13.5" hidden="false" customHeight="true" outlineLevel="0" collapsed="false">
      <c r="A317" s="121"/>
      <c r="B317" s="122"/>
      <c r="C317" s="121"/>
      <c r="D317" s="140"/>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ustomFormat="false" ht="13.5" hidden="false" customHeight="true" outlineLevel="0" collapsed="false">
      <c r="A318" s="121"/>
      <c r="B318" s="122"/>
      <c r="C318" s="121"/>
      <c r="D318" s="140"/>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ustomFormat="false" ht="13.5" hidden="false" customHeight="true" outlineLevel="0" collapsed="false">
      <c r="A319" s="121"/>
      <c r="B319" s="122"/>
      <c r="C319" s="121"/>
      <c r="D319" s="140"/>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ustomFormat="false" ht="13.5" hidden="false" customHeight="true" outlineLevel="0" collapsed="false">
      <c r="A320" s="121"/>
      <c r="B320" s="122"/>
      <c r="C320" s="121"/>
      <c r="D320" s="140"/>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ustomFormat="false" ht="13.5" hidden="false" customHeight="true" outlineLevel="0" collapsed="false">
      <c r="A321" s="121"/>
      <c r="B321" s="122"/>
      <c r="C321" s="121"/>
      <c r="D321" s="140"/>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ustomFormat="false" ht="13.5" hidden="false" customHeight="true" outlineLevel="0" collapsed="false">
      <c r="A322" s="121"/>
      <c r="B322" s="122"/>
      <c r="C322" s="121"/>
      <c r="D322" s="140"/>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ustomFormat="false" ht="13.5" hidden="false" customHeight="true" outlineLevel="0" collapsed="false">
      <c r="A323" s="121"/>
      <c r="B323" s="122"/>
      <c r="C323" s="121"/>
      <c r="D323" s="140"/>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ustomFormat="false" ht="13.5" hidden="false" customHeight="true" outlineLevel="0" collapsed="false">
      <c r="A324" s="121"/>
      <c r="B324" s="122"/>
      <c r="C324" s="121"/>
      <c r="D324" s="140"/>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ustomFormat="false" ht="13.5" hidden="false" customHeight="true" outlineLevel="0" collapsed="false">
      <c r="A325" s="121"/>
      <c r="B325" s="122"/>
      <c r="C325" s="121"/>
      <c r="D325" s="140"/>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ustomFormat="false" ht="13.5" hidden="false" customHeight="true" outlineLevel="0" collapsed="false">
      <c r="A326" s="121"/>
      <c r="B326" s="122"/>
      <c r="C326" s="121"/>
      <c r="D326" s="140"/>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ustomFormat="false" ht="13.5" hidden="false" customHeight="true" outlineLevel="0" collapsed="false">
      <c r="A327" s="121"/>
      <c r="B327" s="122"/>
      <c r="C327" s="121"/>
      <c r="D327" s="140"/>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ustomFormat="false" ht="13.5" hidden="false" customHeight="true" outlineLevel="0" collapsed="false">
      <c r="A328" s="121"/>
      <c r="B328" s="122"/>
      <c r="C328" s="121"/>
      <c r="D328" s="140"/>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ustomFormat="false" ht="13.5" hidden="false" customHeight="true" outlineLevel="0" collapsed="false">
      <c r="A329" s="121"/>
      <c r="B329" s="122"/>
      <c r="C329" s="121"/>
      <c r="D329" s="140"/>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ustomFormat="false" ht="13.5" hidden="false" customHeight="true" outlineLevel="0" collapsed="false">
      <c r="A330" s="121"/>
      <c r="B330" s="122"/>
      <c r="C330" s="121"/>
      <c r="D330" s="140"/>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ustomFormat="false" ht="13.5" hidden="false" customHeight="true" outlineLevel="0" collapsed="false">
      <c r="A331" s="121"/>
      <c r="B331" s="122"/>
      <c r="C331" s="121"/>
      <c r="D331" s="140"/>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ustomFormat="false" ht="13.5" hidden="false" customHeight="true" outlineLevel="0" collapsed="false">
      <c r="A332" s="121"/>
      <c r="B332" s="122"/>
      <c r="C332" s="121"/>
      <c r="D332" s="140"/>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ustomFormat="false" ht="13.5" hidden="false" customHeight="true" outlineLevel="0" collapsed="false">
      <c r="A333" s="121"/>
      <c r="B333" s="122"/>
      <c r="C333" s="121"/>
      <c r="D333" s="140"/>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ustomFormat="false" ht="13.5" hidden="false" customHeight="true" outlineLevel="0" collapsed="false">
      <c r="A334" s="121"/>
      <c r="B334" s="122"/>
      <c r="C334" s="121"/>
      <c r="D334" s="140"/>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ustomFormat="false" ht="13.5" hidden="false" customHeight="true" outlineLevel="0" collapsed="false">
      <c r="A335" s="121"/>
      <c r="B335" s="122"/>
      <c r="C335" s="121"/>
      <c r="D335" s="140"/>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ustomFormat="false" ht="13.5" hidden="false" customHeight="true" outlineLevel="0" collapsed="false">
      <c r="A336" s="121"/>
      <c r="B336" s="122"/>
      <c r="C336" s="121"/>
      <c r="D336" s="140"/>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ustomFormat="false" ht="13.5" hidden="false" customHeight="true" outlineLevel="0" collapsed="false">
      <c r="A337" s="121"/>
      <c r="B337" s="122"/>
      <c r="C337" s="121"/>
      <c r="D337" s="140"/>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ustomFormat="false" ht="13.5" hidden="false" customHeight="true" outlineLevel="0" collapsed="false">
      <c r="A338" s="121"/>
      <c r="B338" s="122"/>
      <c r="C338" s="121"/>
      <c r="D338" s="140"/>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ustomFormat="false" ht="13.5" hidden="false" customHeight="true" outlineLevel="0" collapsed="false">
      <c r="A339" s="121"/>
      <c r="B339" s="122"/>
      <c r="C339" s="121"/>
      <c r="D339" s="140"/>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ustomFormat="false" ht="13.5" hidden="false" customHeight="true" outlineLevel="0" collapsed="false">
      <c r="A340" s="121"/>
      <c r="B340" s="122"/>
      <c r="C340" s="121"/>
      <c r="D340" s="140"/>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ustomFormat="false" ht="13.5" hidden="false" customHeight="true" outlineLevel="0" collapsed="false">
      <c r="A341" s="121"/>
      <c r="B341" s="122"/>
      <c r="C341" s="121"/>
      <c r="D341" s="140"/>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ustomFormat="false" ht="13.5" hidden="false" customHeight="true" outlineLevel="0" collapsed="false">
      <c r="A342" s="121"/>
      <c r="B342" s="122"/>
      <c r="C342" s="121"/>
      <c r="D342" s="140"/>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ustomFormat="false" ht="13.5" hidden="false" customHeight="true" outlineLevel="0" collapsed="false">
      <c r="A343" s="121"/>
      <c r="B343" s="122"/>
      <c r="C343" s="121"/>
      <c r="D343" s="140"/>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ustomFormat="false" ht="13.5" hidden="false" customHeight="true" outlineLevel="0" collapsed="false">
      <c r="A344" s="121"/>
      <c r="B344" s="122"/>
      <c r="C344" s="121"/>
      <c r="D344" s="140"/>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ustomFormat="false" ht="13.5" hidden="false" customHeight="true" outlineLevel="0" collapsed="false">
      <c r="A345" s="121"/>
      <c r="B345" s="122"/>
      <c r="C345" s="121"/>
      <c r="D345" s="140"/>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ustomFormat="false" ht="13.5" hidden="false" customHeight="true" outlineLevel="0" collapsed="false">
      <c r="A346" s="121"/>
      <c r="B346" s="122"/>
      <c r="C346" s="121"/>
      <c r="D346" s="140"/>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ustomFormat="false" ht="13.5" hidden="false" customHeight="true" outlineLevel="0" collapsed="false">
      <c r="A347" s="121"/>
      <c r="B347" s="122"/>
      <c r="C347" s="121"/>
      <c r="D347" s="140"/>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ustomFormat="false" ht="13.5" hidden="false" customHeight="true" outlineLevel="0" collapsed="false">
      <c r="A348" s="121"/>
      <c r="B348" s="122"/>
      <c r="C348" s="121"/>
      <c r="D348" s="140"/>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ustomFormat="false" ht="13.5" hidden="false" customHeight="true" outlineLevel="0" collapsed="false">
      <c r="A349" s="121"/>
      <c r="B349" s="122"/>
      <c r="C349" s="121"/>
      <c r="D349" s="140"/>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ustomFormat="false" ht="13.5" hidden="false" customHeight="true" outlineLevel="0" collapsed="false">
      <c r="A350" s="121"/>
      <c r="B350" s="122"/>
      <c r="C350" s="121"/>
      <c r="D350" s="140"/>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ustomFormat="false" ht="13.5" hidden="false" customHeight="true" outlineLevel="0" collapsed="false">
      <c r="A351" s="121"/>
      <c r="B351" s="122"/>
      <c r="C351" s="121"/>
      <c r="D351" s="140"/>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ustomFormat="false" ht="13.5" hidden="false" customHeight="true" outlineLevel="0" collapsed="false">
      <c r="A352" s="121"/>
      <c r="B352" s="122"/>
      <c r="C352" s="121"/>
      <c r="D352" s="140"/>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ustomFormat="false" ht="13.5" hidden="false" customHeight="true" outlineLevel="0" collapsed="false">
      <c r="A353" s="121"/>
      <c r="B353" s="122"/>
      <c r="C353" s="121"/>
      <c r="D353" s="140"/>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ustomFormat="false" ht="13.5" hidden="false" customHeight="true" outlineLevel="0" collapsed="false">
      <c r="A354" s="121"/>
      <c r="B354" s="122"/>
      <c r="C354" s="121"/>
      <c r="D354" s="140"/>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ustomFormat="false" ht="13.5" hidden="false" customHeight="true" outlineLevel="0" collapsed="false">
      <c r="A355" s="121"/>
      <c r="B355" s="122"/>
      <c r="C355" s="121"/>
      <c r="D355" s="140"/>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ustomFormat="false" ht="13.5" hidden="false" customHeight="true" outlineLevel="0" collapsed="false">
      <c r="A356" s="121"/>
      <c r="B356" s="122"/>
      <c r="C356" s="121"/>
      <c r="D356" s="140"/>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ustomFormat="false" ht="13.5" hidden="false" customHeight="true" outlineLevel="0" collapsed="false">
      <c r="A357" s="121"/>
      <c r="B357" s="122"/>
      <c r="C357" s="121"/>
      <c r="D357" s="140"/>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ustomFormat="false" ht="13.5" hidden="false" customHeight="true" outlineLevel="0" collapsed="false">
      <c r="A358" s="121"/>
      <c r="B358" s="122"/>
      <c r="C358" s="121"/>
      <c r="D358" s="140"/>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ustomFormat="false" ht="13.5" hidden="false" customHeight="true" outlineLevel="0" collapsed="false">
      <c r="A359" s="121"/>
      <c r="B359" s="122"/>
      <c r="C359" s="121"/>
      <c r="D359" s="140"/>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ustomFormat="false" ht="13.5" hidden="false" customHeight="true" outlineLevel="0" collapsed="false">
      <c r="A360" s="121"/>
      <c r="B360" s="122"/>
      <c r="C360" s="121"/>
      <c r="D360" s="140"/>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ustomFormat="false" ht="13.5" hidden="false" customHeight="true" outlineLevel="0" collapsed="false">
      <c r="A361" s="121"/>
      <c r="B361" s="122"/>
      <c r="C361" s="121"/>
      <c r="D361" s="140"/>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ustomFormat="false" ht="13.5" hidden="false" customHeight="true" outlineLevel="0" collapsed="false">
      <c r="A362" s="121"/>
      <c r="B362" s="122"/>
      <c r="C362" s="121"/>
      <c r="D362" s="140"/>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ustomFormat="false" ht="13.5" hidden="false" customHeight="true" outlineLevel="0" collapsed="false">
      <c r="A363" s="121"/>
      <c r="B363" s="122"/>
      <c r="C363" s="121"/>
      <c r="D363" s="140"/>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ustomFormat="false" ht="13.5" hidden="false" customHeight="true" outlineLevel="0" collapsed="false">
      <c r="A364" s="121"/>
      <c r="B364" s="122"/>
      <c r="C364" s="121"/>
      <c r="D364" s="140"/>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ustomFormat="false" ht="13.5" hidden="false" customHeight="true" outlineLevel="0" collapsed="false">
      <c r="A365" s="121"/>
      <c r="B365" s="122"/>
      <c r="C365" s="121"/>
      <c r="D365" s="140"/>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ustomFormat="false" ht="13.5" hidden="false" customHeight="true" outlineLevel="0" collapsed="false">
      <c r="A366" s="121"/>
      <c r="B366" s="122"/>
      <c r="C366" s="121"/>
      <c r="D366" s="140"/>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ustomFormat="false" ht="13.5" hidden="false" customHeight="true" outlineLevel="0" collapsed="false">
      <c r="A367" s="121"/>
      <c r="B367" s="122"/>
      <c r="C367" s="121"/>
      <c r="D367" s="140"/>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ustomFormat="false" ht="13.5" hidden="false" customHeight="true" outlineLevel="0" collapsed="false">
      <c r="A368" s="121"/>
      <c r="B368" s="122"/>
      <c r="C368" s="121"/>
      <c r="D368" s="140"/>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ustomFormat="false" ht="13.5" hidden="false" customHeight="true" outlineLevel="0" collapsed="false">
      <c r="A369" s="121"/>
      <c r="B369" s="122"/>
      <c r="C369" s="121"/>
      <c r="D369" s="140"/>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ustomFormat="false" ht="13.5" hidden="false" customHeight="true" outlineLevel="0" collapsed="false">
      <c r="A370" s="121"/>
      <c r="B370" s="122"/>
      <c r="C370" s="121"/>
      <c r="D370" s="140"/>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ustomFormat="false" ht="13.5" hidden="false" customHeight="true" outlineLevel="0" collapsed="false">
      <c r="A371" s="121"/>
      <c r="B371" s="122"/>
      <c r="C371" s="121"/>
      <c r="D371" s="140"/>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ustomFormat="false" ht="13.5" hidden="false" customHeight="true" outlineLevel="0" collapsed="false">
      <c r="A372" s="121"/>
      <c r="B372" s="122"/>
      <c r="C372" s="121"/>
      <c r="D372" s="140"/>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ustomFormat="false" ht="13.5" hidden="false" customHeight="true" outlineLevel="0" collapsed="false">
      <c r="A373" s="121"/>
      <c r="B373" s="122"/>
      <c r="C373" s="121"/>
      <c r="D373" s="140"/>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ustomFormat="false" ht="13.5" hidden="false" customHeight="true" outlineLevel="0" collapsed="false">
      <c r="A374" s="121"/>
      <c r="B374" s="122"/>
      <c r="C374" s="121"/>
      <c r="D374" s="140"/>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ustomFormat="false" ht="13.5" hidden="false" customHeight="true" outlineLevel="0" collapsed="false">
      <c r="A375" s="121"/>
      <c r="B375" s="122"/>
      <c r="C375" s="121"/>
      <c r="D375" s="140"/>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ustomFormat="false" ht="13.5" hidden="false" customHeight="true" outlineLevel="0" collapsed="false">
      <c r="A376" s="121"/>
      <c r="B376" s="122"/>
      <c r="C376" s="121"/>
      <c r="D376" s="140"/>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ustomFormat="false" ht="13.5" hidden="false" customHeight="true" outlineLevel="0" collapsed="false">
      <c r="A377" s="121"/>
      <c r="B377" s="122"/>
      <c r="C377" s="121"/>
      <c r="D377" s="140"/>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ustomFormat="false" ht="13.5" hidden="false" customHeight="true" outlineLevel="0" collapsed="false">
      <c r="A378" s="121"/>
      <c r="B378" s="122"/>
      <c r="C378" s="121"/>
      <c r="D378" s="140"/>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ustomFormat="false" ht="13.5" hidden="false" customHeight="true" outlineLevel="0" collapsed="false">
      <c r="A379" s="121"/>
      <c r="B379" s="122"/>
      <c r="C379" s="121"/>
      <c r="D379" s="140"/>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ustomFormat="false" ht="13.5" hidden="false" customHeight="true" outlineLevel="0" collapsed="false">
      <c r="A380" s="121"/>
      <c r="B380" s="122"/>
      <c r="C380" s="121"/>
      <c r="D380" s="140"/>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ustomFormat="false" ht="13.5" hidden="false" customHeight="true" outlineLevel="0" collapsed="false">
      <c r="A381" s="121"/>
      <c r="B381" s="122"/>
      <c r="C381" s="121"/>
      <c r="D381" s="140"/>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ustomFormat="false" ht="13.5" hidden="false" customHeight="true" outlineLevel="0" collapsed="false">
      <c r="A382" s="121"/>
      <c r="B382" s="122"/>
      <c r="C382" s="121"/>
      <c r="D382" s="140"/>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ustomFormat="false" ht="13.5" hidden="false" customHeight="true" outlineLevel="0" collapsed="false">
      <c r="A383" s="121"/>
      <c r="B383" s="122"/>
      <c r="C383" s="121"/>
      <c r="D383" s="140"/>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ustomFormat="false" ht="13.5" hidden="false" customHeight="true" outlineLevel="0" collapsed="false">
      <c r="A384" s="121"/>
      <c r="B384" s="122"/>
      <c r="C384" s="121"/>
      <c r="D384" s="140"/>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ustomFormat="false" ht="13.5" hidden="false" customHeight="true" outlineLevel="0" collapsed="false">
      <c r="A385" s="121"/>
      <c r="B385" s="122"/>
      <c r="C385" s="121"/>
      <c r="D385" s="140"/>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ustomFormat="false" ht="13.5" hidden="false" customHeight="true" outlineLevel="0" collapsed="false">
      <c r="A386" s="121"/>
      <c r="B386" s="122"/>
      <c r="C386" s="121"/>
      <c r="D386" s="140"/>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ustomFormat="false" ht="13.5" hidden="false" customHeight="true" outlineLevel="0" collapsed="false">
      <c r="A387" s="121"/>
      <c r="B387" s="122"/>
      <c r="C387" s="121"/>
      <c r="D387" s="140"/>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ustomFormat="false" ht="13.5" hidden="false" customHeight="true" outlineLevel="0" collapsed="false">
      <c r="A388" s="121"/>
      <c r="B388" s="122"/>
      <c r="C388" s="121"/>
      <c r="D388" s="140"/>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ustomFormat="false" ht="13.5" hidden="false" customHeight="true" outlineLevel="0" collapsed="false">
      <c r="A389" s="121"/>
      <c r="B389" s="122"/>
      <c r="C389" s="121"/>
      <c r="D389" s="140"/>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ustomFormat="false" ht="13.5" hidden="false" customHeight="true" outlineLevel="0" collapsed="false">
      <c r="A390" s="121"/>
      <c r="B390" s="122"/>
      <c r="C390" s="121"/>
      <c r="D390" s="140"/>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ustomFormat="false" ht="13.5" hidden="false" customHeight="true" outlineLevel="0" collapsed="false">
      <c r="A391" s="121"/>
      <c r="B391" s="122"/>
      <c r="C391" s="121"/>
      <c r="D391" s="140"/>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ustomFormat="false" ht="13.5" hidden="false" customHeight="true" outlineLevel="0" collapsed="false">
      <c r="A392" s="121"/>
      <c r="B392" s="122"/>
      <c r="C392" s="121"/>
      <c r="D392" s="140"/>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ustomFormat="false" ht="13.5" hidden="false" customHeight="true" outlineLevel="0" collapsed="false">
      <c r="A393" s="121"/>
      <c r="B393" s="122"/>
      <c r="C393" s="121"/>
      <c r="D393" s="140"/>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ustomFormat="false" ht="13.5" hidden="false" customHeight="true" outlineLevel="0" collapsed="false">
      <c r="A394" s="121"/>
      <c r="B394" s="122"/>
      <c r="C394" s="121"/>
      <c r="D394" s="140"/>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ustomFormat="false" ht="13.5" hidden="false" customHeight="true" outlineLevel="0" collapsed="false">
      <c r="A395" s="121"/>
      <c r="B395" s="122"/>
      <c r="C395" s="121"/>
      <c r="D395" s="140"/>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ustomFormat="false" ht="13.5" hidden="false" customHeight="true" outlineLevel="0" collapsed="false">
      <c r="A396" s="121"/>
      <c r="B396" s="122"/>
      <c r="C396" s="121"/>
      <c r="D396" s="140"/>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ustomFormat="false" ht="13.5" hidden="false" customHeight="true" outlineLevel="0" collapsed="false">
      <c r="A397" s="121"/>
      <c r="B397" s="122"/>
      <c r="C397" s="121"/>
      <c r="D397" s="140"/>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ustomFormat="false" ht="13.5" hidden="false" customHeight="true" outlineLevel="0" collapsed="false">
      <c r="A398" s="121"/>
      <c r="B398" s="122"/>
      <c r="C398" s="121"/>
      <c r="D398" s="140"/>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ustomFormat="false" ht="13.5" hidden="false" customHeight="true" outlineLevel="0" collapsed="false">
      <c r="A399" s="121"/>
      <c r="B399" s="122"/>
      <c r="C399" s="121"/>
      <c r="D399" s="140"/>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ustomFormat="false" ht="13.5" hidden="false" customHeight="true" outlineLevel="0" collapsed="false">
      <c r="A400" s="121"/>
      <c r="B400" s="122"/>
      <c r="C400" s="121"/>
      <c r="D400" s="140"/>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ustomFormat="false" ht="13.5" hidden="false" customHeight="true" outlineLevel="0" collapsed="false">
      <c r="A401" s="121"/>
      <c r="B401" s="122"/>
      <c r="C401" s="121"/>
      <c r="D401" s="140"/>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ustomFormat="false" ht="13.5" hidden="false" customHeight="true" outlineLevel="0" collapsed="false">
      <c r="A402" s="121"/>
      <c r="B402" s="122"/>
      <c r="C402" s="121"/>
      <c r="D402" s="140"/>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ustomFormat="false" ht="13.5" hidden="false" customHeight="true" outlineLevel="0" collapsed="false">
      <c r="A403" s="121"/>
      <c r="B403" s="122"/>
      <c r="C403" s="121"/>
      <c r="D403" s="140"/>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ustomFormat="false" ht="13.5" hidden="false" customHeight="true" outlineLevel="0" collapsed="false">
      <c r="A404" s="121"/>
      <c r="B404" s="122"/>
      <c r="C404" s="121"/>
      <c r="D404" s="140"/>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ustomFormat="false" ht="13.5" hidden="false" customHeight="true" outlineLevel="0" collapsed="false">
      <c r="A405" s="121"/>
      <c r="B405" s="122"/>
      <c r="C405" s="121"/>
      <c r="D405" s="140"/>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ustomFormat="false" ht="13.5" hidden="false" customHeight="true" outlineLevel="0" collapsed="false">
      <c r="A406" s="121"/>
      <c r="B406" s="122"/>
      <c r="C406" s="121"/>
      <c r="D406" s="140"/>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ustomFormat="false" ht="13.5" hidden="false" customHeight="true" outlineLevel="0" collapsed="false">
      <c r="A407" s="121"/>
      <c r="B407" s="122"/>
      <c r="C407" s="121"/>
      <c r="D407" s="140"/>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ustomFormat="false" ht="13.5" hidden="false" customHeight="true" outlineLevel="0" collapsed="false">
      <c r="A408" s="121"/>
      <c r="B408" s="122"/>
      <c r="C408" s="121"/>
      <c r="D408" s="140"/>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ustomFormat="false" ht="13.5" hidden="false" customHeight="true" outlineLevel="0" collapsed="false">
      <c r="A409" s="121"/>
      <c r="B409" s="122"/>
      <c r="C409" s="121"/>
      <c r="D409" s="140"/>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ustomFormat="false" ht="13.5" hidden="false" customHeight="true" outlineLevel="0" collapsed="false">
      <c r="A410" s="121"/>
      <c r="B410" s="122"/>
      <c r="C410" s="121"/>
      <c r="D410" s="140"/>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ustomFormat="false" ht="13.5" hidden="false" customHeight="true" outlineLevel="0" collapsed="false">
      <c r="A411" s="121"/>
      <c r="B411" s="122"/>
      <c r="C411" s="121"/>
      <c r="D411" s="140"/>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ustomFormat="false" ht="13.5" hidden="false" customHeight="true" outlineLevel="0" collapsed="false">
      <c r="A412" s="121"/>
      <c r="B412" s="122"/>
      <c r="C412" s="121"/>
      <c r="D412" s="140"/>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ustomFormat="false" ht="13.5" hidden="false" customHeight="true" outlineLevel="0" collapsed="false">
      <c r="A413" s="121"/>
      <c r="B413" s="122"/>
      <c r="C413" s="121"/>
      <c r="D413" s="140"/>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ustomFormat="false" ht="13.5" hidden="false" customHeight="true" outlineLevel="0" collapsed="false">
      <c r="A414" s="121"/>
      <c r="B414" s="122"/>
      <c r="C414" s="121"/>
      <c r="D414" s="140"/>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ustomFormat="false" ht="13.5" hidden="false" customHeight="true" outlineLevel="0" collapsed="false">
      <c r="A415" s="121"/>
      <c r="B415" s="122"/>
      <c r="C415" s="121"/>
      <c r="D415" s="140"/>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ustomFormat="false" ht="13.5" hidden="false" customHeight="true" outlineLevel="0" collapsed="false">
      <c r="A416" s="121"/>
      <c r="B416" s="122"/>
      <c r="C416" s="121"/>
      <c r="D416" s="140"/>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ustomFormat="false" ht="13.5" hidden="false" customHeight="true" outlineLevel="0" collapsed="false">
      <c r="A417" s="121"/>
      <c r="B417" s="122"/>
      <c r="C417" s="121"/>
      <c r="D417" s="140"/>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ustomFormat="false" ht="13.5" hidden="false" customHeight="true" outlineLevel="0" collapsed="false">
      <c r="A418" s="121"/>
      <c r="B418" s="122"/>
      <c r="C418" s="121"/>
      <c r="D418" s="140"/>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ustomFormat="false" ht="13.5" hidden="false" customHeight="true" outlineLevel="0" collapsed="false">
      <c r="A419" s="121"/>
      <c r="B419" s="122"/>
      <c r="C419" s="121"/>
      <c r="D419" s="140"/>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ustomFormat="false" ht="13.5" hidden="false" customHeight="true" outlineLevel="0" collapsed="false">
      <c r="A420" s="121"/>
      <c r="B420" s="122"/>
      <c r="C420" s="121"/>
      <c r="D420" s="140"/>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ustomFormat="false" ht="13.5" hidden="false" customHeight="true" outlineLevel="0" collapsed="false">
      <c r="A421" s="121"/>
      <c r="B421" s="122"/>
      <c r="C421" s="121"/>
      <c r="D421" s="140"/>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ustomFormat="false" ht="13.5" hidden="false" customHeight="true" outlineLevel="0" collapsed="false">
      <c r="A422" s="121"/>
      <c r="B422" s="122"/>
      <c r="C422" s="121"/>
      <c r="D422" s="140"/>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ustomFormat="false" ht="13.5" hidden="false" customHeight="true" outlineLevel="0" collapsed="false">
      <c r="A423" s="121"/>
      <c r="B423" s="122"/>
      <c r="C423" s="121"/>
      <c r="D423" s="140"/>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ustomFormat="false" ht="13.5" hidden="false" customHeight="true" outlineLevel="0" collapsed="false">
      <c r="A424" s="121"/>
      <c r="B424" s="122"/>
      <c r="C424" s="121"/>
      <c r="D424" s="140"/>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ustomFormat="false" ht="13.5" hidden="false" customHeight="true" outlineLevel="0" collapsed="false">
      <c r="A425" s="121"/>
      <c r="B425" s="122"/>
      <c r="C425" s="121"/>
      <c r="D425" s="140"/>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ustomFormat="false" ht="13.5" hidden="false" customHeight="true" outlineLevel="0" collapsed="false">
      <c r="A426" s="121"/>
      <c r="B426" s="122"/>
      <c r="C426" s="121"/>
      <c r="D426" s="140"/>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ustomFormat="false" ht="13.5" hidden="false" customHeight="true" outlineLevel="0" collapsed="false">
      <c r="A427" s="121"/>
      <c r="B427" s="122"/>
      <c r="C427" s="121"/>
      <c r="D427" s="140"/>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ustomFormat="false" ht="13.5" hidden="false" customHeight="true" outlineLevel="0" collapsed="false">
      <c r="A428" s="121"/>
      <c r="B428" s="122"/>
      <c r="C428" s="121"/>
      <c r="D428" s="140"/>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ustomFormat="false" ht="13.5" hidden="false" customHeight="true" outlineLevel="0" collapsed="false">
      <c r="A429" s="121"/>
      <c r="B429" s="122"/>
      <c r="C429" s="121"/>
      <c r="D429" s="140"/>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ustomFormat="false" ht="13.5" hidden="false" customHeight="true" outlineLevel="0" collapsed="false">
      <c r="A430" s="121"/>
      <c r="B430" s="122"/>
      <c r="C430" s="121"/>
      <c r="D430" s="140"/>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ustomFormat="false" ht="13.5" hidden="false" customHeight="true" outlineLevel="0" collapsed="false">
      <c r="A431" s="121"/>
      <c r="B431" s="122"/>
      <c r="C431" s="121"/>
      <c r="D431" s="140"/>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ustomFormat="false" ht="13.5" hidden="false" customHeight="true" outlineLevel="0" collapsed="false">
      <c r="A432" s="121"/>
      <c r="B432" s="122"/>
      <c r="C432" s="121"/>
      <c r="D432" s="140"/>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ustomFormat="false" ht="13.5" hidden="false" customHeight="true" outlineLevel="0" collapsed="false">
      <c r="A433" s="121"/>
      <c r="B433" s="122"/>
      <c r="C433" s="121"/>
      <c r="D433" s="140"/>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ustomFormat="false" ht="13.5" hidden="false" customHeight="true" outlineLevel="0" collapsed="false">
      <c r="A434" s="121"/>
      <c r="B434" s="122"/>
      <c r="C434" s="121"/>
      <c r="D434" s="140"/>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ustomFormat="false" ht="13.5" hidden="false" customHeight="true" outlineLevel="0" collapsed="false">
      <c r="A435" s="121"/>
      <c r="B435" s="122"/>
      <c r="C435" s="121"/>
      <c r="D435" s="140"/>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ustomFormat="false" ht="13.5" hidden="false" customHeight="true" outlineLevel="0" collapsed="false">
      <c r="A436" s="121"/>
      <c r="B436" s="122"/>
      <c r="C436" s="121"/>
      <c r="D436" s="140"/>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ustomFormat="false" ht="13.5" hidden="false" customHeight="true" outlineLevel="0" collapsed="false">
      <c r="A437" s="121"/>
      <c r="B437" s="122"/>
      <c r="C437" s="121"/>
      <c r="D437" s="140"/>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ustomFormat="false" ht="13.5" hidden="false" customHeight="true" outlineLevel="0" collapsed="false">
      <c r="A438" s="121"/>
      <c r="B438" s="122"/>
      <c r="C438" s="121"/>
      <c r="D438" s="140"/>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ustomFormat="false" ht="13.5" hidden="false" customHeight="true" outlineLevel="0" collapsed="false">
      <c r="A439" s="121"/>
      <c r="B439" s="122"/>
      <c r="C439" s="121"/>
      <c r="D439" s="140"/>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ustomFormat="false" ht="13.5" hidden="false" customHeight="true" outlineLevel="0" collapsed="false">
      <c r="A440" s="121"/>
      <c r="B440" s="122"/>
      <c r="C440" s="121"/>
      <c r="D440" s="140"/>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ustomFormat="false" ht="13.5" hidden="false" customHeight="true" outlineLevel="0" collapsed="false">
      <c r="A441" s="121"/>
      <c r="B441" s="122"/>
      <c r="C441" s="121"/>
      <c r="D441" s="140"/>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ustomFormat="false" ht="13.5" hidden="false" customHeight="true" outlineLevel="0" collapsed="false">
      <c r="A442" s="121"/>
      <c r="B442" s="122"/>
      <c r="C442" s="121"/>
      <c r="D442" s="140"/>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ustomFormat="false" ht="13.5" hidden="false" customHeight="true" outlineLevel="0" collapsed="false">
      <c r="A443" s="121"/>
      <c r="B443" s="122"/>
      <c r="C443" s="121"/>
      <c r="D443" s="140"/>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ustomFormat="false" ht="13.5" hidden="false" customHeight="true" outlineLevel="0" collapsed="false">
      <c r="A444" s="121"/>
      <c r="B444" s="122"/>
      <c r="C444" s="121"/>
      <c r="D444" s="140"/>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ustomFormat="false" ht="13.5" hidden="false" customHeight="true" outlineLevel="0" collapsed="false">
      <c r="A445" s="121"/>
      <c r="B445" s="122"/>
      <c r="C445" s="121"/>
      <c r="D445" s="140"/>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ustomFormat="false" ht="13.5" hidden="false" customHeight="true" outlineLevel="0" collapsed="false">
      <c r="A446" s="121"/>
      <c r="B446" s="122"/>
      <c r="C446" s="121"/>
      <c r="D446" s="140"/>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ustomFormat="false" ht="13.5" hidden="false" customHeight="true" outlineLevel="0" collapsed="false">
      <c r="A447" s="121"/>
      <c r="B447" s="122"/>
      <c r="C447" s="121"/>
      <c r="D447" s="140"/>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ustomFormat="false" ht="13.5" hidden="false" customHeight="true" outlineLevel="0" collapsed="false">
      <c r="A448" s="121"/>
      <c r="B448" s="122"/>
      <c r="C448" s="121"/>
      <c r="D448" s="140"/>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ustomFormat="false" ht="13.5" hidden="false" customHeight="true" outlineLevel="0" collapsed="false">
      <c r="A449" s="121"/>
      <c r="B449" s="122"/>
      <c r="C449" s="121"/>
      <c r="D449" s="140"/>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ustomFormat="false" ht="13.5" hidden="false" customHeight="true" outlineLevel="0" collapsed="false">
      <c r="A450" s="121"/>
      <c r="B450" s="122"/>
      <c r="C450" s="121"/>
      <c r="D450" s="140"/>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ustomFormat="false" ht="13.5" hidden="false" customHeight="true" outlineLevel="0" collapsed="false">
      <c r="A451" s="121"/>
      <c r="B451" s="122"/>
      <c r="C451" s="121"/>
      <c r="D451" s="140"/>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ustomFormat="false" ht="13.5" hidden="false" customHeight="true" outlineLevel="0" collapsed="false">
      <c r="A452" s="121"/>
      <c r="B452" s="122"/>
      <c r="C452" s="121"/>
      <c r="D452" s="140"/>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ustomFormat="false" ht="13.5" hidden="false" customHeight="true" outlineLevel="0" collapsed="false">
      <c r="A453" s="121"/>
      <c r="B453" s="122"/>
      <c r="C453" s="121"/>
      <c r="D453" s="140"/>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ustomFormat="false" ht="13.5" hidden="false" customHeight="true" outlineLevel="0" collapsed="false">
      <c r="A454" s="121"/>
      <c r="B454" s="122"/>
      <c r="C454" s="121"/>
      <c r="D454" s="140"/>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ustomFormat="false" ht="13.5" hidden="false" customHeight="true" outlineLevel="0" collapsed="false">
      <c r="A455" s="121"/>
      <c r="B455" s="122"/>
      <c r="C455" s="121"/>
      <c r="D455" s="140"/>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ustomFormat="false" ht="13.5" hidden="false" customHeight="true" outlineLevel="0" collapsed="false">
      <c r="A456" s="121"/>
      <c r="B456" s="122"/>
      <c r="C456" s="121"/>
      <c r="D456" s="140"/>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ustomFormat="false" ht="13.5" hidden="false" customHeight="true" outlineLevel="0" collapsed="false">
      <c r="A457" s="121"/>
      <c r="B457" s="122"/>
      <c r="C457" s="121"/>
      <c r="D457" s="140"/>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ustomFormat="false" ht="13.5" hidden="false" customHeight="true" outlineLevel="0" collapsed="false">
      <c r="A458" s="121"/>
      <c r="B458" s="122"/>
      <c r="C458" s="121"/>
      <c r="D458" s="140"/>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ustomFormat="false" ht="13.5" hidden="false" customHeight="true" outlineLevel="0" collapsed="false">
      <c r="A459" s="121"/>
      <c r="B459" s="122"/>
      <c r="C459" s="121"/>
      <c r="D459" s="140"/>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ustomFormat="false" ht="13.5" hidden="false" customHeight="true" outlineLevel="0" collapsed="false">
      <c r="A460" s="121"/>
      <c r="B460" s="122"/>
      <c r="C460" s="121"/>
      <c r="D460" s="140"/>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ustomFormat="false" ht="13.5" hidden="false" customHeight="true" outlineLevel="0" collapsed="false">
      <c r="A461" s="121"/>
      <c r="B461" s="122"/>
      <c r="C461" s="121"/>
      <c r="D461" s="140"/>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ustomFormat="false" ht="13.5" hidden="false" customHeight="true" outlineLevel="0" collapsed="false">
      <c r="A462" s="121"/>
      <c r="B462" s="122"/>
      <c r="C462" s="121"/>
      <c r="D462" s="140"/>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ustomFormat="false" ht="13.5" hidden="false" customHeight="true" outlineLevel="0" collapsed="false">
      <c r="A463" s="121"/>
      <c r="B463" s="122"/>
      <c r="C463" s="121"/>
      <c r="D463" s="140"/>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ustomFormat="false" ht="13.5" hidden="false" customHeight="true" outlineLevel="0" collapsed="false">
      <c r="A464" s="121"/>
      <c r="B464" s="122"/>
      <c r="C464" s="121"/>
      <c r="D464" s="140"/>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ustomFormat="false" ht="13.5" hidden="false" customHeight="true" outlineLevel="0" collapsed="false">
      <c r="A465" s="121"/>
      <c r="B465" s="122"/>
      <c r="C465" s="121"/>
      <c r="D465" s="140"/>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ustomFormat="false" ht="13.5" hidden="false" customHeight="true" outlineLevel="0" collapsed="false">
      <c r="A466" s="121"/>
      <c r="B466" s="122"/>
      <c r="C466" s="121"/>
      <c r="D466" s="140"/>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ustomFormat="false" ht="13.5" hidden="false" customHeight="true" outlineLevel="0" collapsed="false">
      <c r="A467" s="121"/>
      <c r="B467" s="122"/>
      <c r="C467" s="121"/>
      <c r="D467" s="140"/>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ustomFormat="false" ht="13.5" hidden="false" customHeight="true" outlineLevel="0" collapsed="false">
      <c r="A468" s="121"/>
      <c r="B468" s="122"/>
      <c r="C468" s="121"/>
      <c r="D468" s="140"/>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ustomFormat="false" ht="13.5" hidden="false" customHeight="true" outlineLevel="0" collapsed="false">
      <c r="A469" s="121"/>
      <c r="B469" s="122"/>
      <c r="C469" s="121"/>
      <c r="D469" s="14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ustomFormat="false" ht="13.5" hidden="false" customHeight="true" outlineLevel="0" collapsed="false">
      <c r="A470" s="121"/>
      <c r="B470" s="122"/>
      <c r="C470" s="121"/>
      <c r="D470" s="140"/>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ustomFormat="false" ht="13.5" hidden="false" customHeight="true" outlineLevel="0" collapsed="false">
      <c r="A471" s="121"/>
      <c r="B471" s="122"/>
      <c r="C471" s="121"/>
      <c r="D471" s="140"/>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ustomFormat="false" ht="13.5" hidden="false" customHeight="true" outlineLevel="0" collapsed="false">
      <c r="A472" s="121"/>
      <c r="B472" s="122"/>
      <c r="C472" s="121"/>
      <c r="D472" s="140"/>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ustomFormat="false" ht="13.5" hidden="false" customHeight="true" outlineLevel="0" collapsed="false">
      <c r="A473" s="121"/>
      <c r="B473" s="122"/>
      <c r="C473" s="121"/>
      <c r="D473" s="140"/>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ustomFormat="false" ht="13.5" hidden="false" customHeight="true" outlineLevel="0" collapsed="false">
      <c r="A474" s="121"/>
      <c r="B474" s="122"/>
      <c r="C474" s="121"/>
      <c r="D474" s="140"/>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ustomFormat="false" ht="13.5" hidden="false" customHeight="true" outlineLevel="0" collapsed="false">
      <c r="A475" s="121"/>
      <c r="B475" s="122"/>
      <c r="C475" s="121"/>
      <c r="D475" s="140"/>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ustomFormat="false" ht="13.5" hidden="false" customHeight="true" outlineLevel="0" collapsed="false">
      <c r="A476" s="121"/>
      <c r="B476" s="122"/>
      <c r="C476" s="121"/>
      <c r="D476" s="140"/>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ustomFormat="false" ht="13.5" hidden="false" customHeight="true" outlineLevel="0" collapsed="false">
      <c r="A477" s="121"/>
      <c r="B477" s="122"/>
      <c r="C477" s="121"/>
      <c r="D477" s="140"/>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ustomFormat="false" ht="13.5" hidden="false" customHeight="true" outlineLevel="0" collapsed="false">
      <c r="A478" s="121"/>
      <c r="B478" s="122"/>
      <c r="C478" s="121"/>
      <c r="D478" s="140"/>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ustomFormat="false" ht="13.5" hidden="false" customHeight="true" outlineLevel="0" collapsed="false">
      <c r="A479" s="121"/>
      <c r="B479" s="122"/>
      <c r="C479" s="121"/>
      <c r="D479" s="140"/>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ustomFormat="false" ht="13.5" hidden="false" customHeight="true" outlineLevel="0" collapsed="false">
      <c r="A480" s="121"/>
      <c r="B480" s="122"/>
      <c r="C480" s="121"/>
      <c r="D480" s="140"/>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ustomFormat="false" ht="13.5" hidden="false" customHeight="true" outlineLevel="0" collapsed="false">
      <c r="A481" s="121"/>
      <c r="B481" s="122"/>
      <c r="C481" s="121"/>
      <c r="D481" s="140"/>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ustomFormat="false" ht="13.5" hidden="false" customHeight="true" outlineLevel="0" collapsed="false">
      <c r="A482" s="121"/>
      <c r="B482" s="122"/>
      <c r="C482" s="121"/>
      <c r="D482" s="140"/>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ustomFormat="false" ht="13.5" hidden="false" customHeight="true" outlineLevel="0" collapsed="false">
      <c r="A483" s="121"/>
      <c r="B483" s="122"/>
      <c r="C483" s="121"/>
      <c r="D483" s="140"/>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ustomFormat="false" ht="13.5" hidden="false" customHeight="true" outlineLevel="0" collapsed="false">
      <c r="A484" s="121"/>
      <c r="B484" s="122"/>
      <c r="C484" s="121"/>
      <c r="D484" s="140"/>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ustomFormat="false" ht="13.5" hidden="false" customHeight="true" outlineLevel="0" collapsed="false">
      <c r="A485" s="121"/>
      <c r="B485" s="122"/>
      <c r="C485" s="121"/>
      <c r="D485" s="140"/>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ustomFormat="false" ht="13.5" hidden="false" customHeight="true" outlineLevel="0" collapsed="false">
      <c r="A486" s="121"/>
      <c r="B486" s="122"/>
      <c r="C486" s="121"/>
      <c r="D486" s="140"/>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ustomFormat="false" ht="13.5" hidden="false" customHeight="true" outlineLevel="0" collapsed="false">
      <c r="A487" s="121"/>
      <c r="B487" s="122"/>
      <c r="C487" s="121"/>
      <c r="D487" s="140"/>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ustomFormat="false" ht="13.5" hidden="false" customHeight="true" outlineLevel="0" collapsed="false">
      <c r="A488" s="121"/>
      <c r="B488" s="122"/>
      <c r="C488" s="121"/>
      <c r="D488" s="140"/>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ustomFormat="false" ht="13.5" hidden="false" customHeight="true" outlineLevel="0" collapsed="false">
      <c r="A489" s="121"/>
      <c r="B489" s="122"/>
      <c r="C489" s="121"/>
      <c r="D489" s="140"/>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ustomFormat="false" ht="13.5" hidden="false" customHeight="true" outlineLevel="0" collapsed="false">
      <c r="A490" s="121"/>
      <c r="B490" s="122"/>
      <c r="C490" s="121"/>
      <c r="D490" s="140"/>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ustomFormat="false" ht="13.5" hidden="false" customHeight="true" outlineLevel="0" collapsed="false">
      <c r="A491" s="121"/>
      <c r="B491" s="122"/>
      <c r="C491" s="121"/>
      <c r="D491" s="140"/>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ustomFormat="false" ht="13.5" hidden="false" customHeight="true" outlineLevel="0" collapsed="false">
      <c r="A492" s="121"/>
      <c r="B492" s="122"/>
      <c r="C492" s="121"/>
      <c r="D492" s="140"/>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ustomFormat="false" ht="13.5" hidden="false" customHeight="true" outlineLevel="0" collapsed="false">
      <c r="A493" s="121"/>
      <c r="B493" s="122"/>
      <c r="C493" s="121"/>
      <c r="D493" s="140"/>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ustomFormat="false" ht="13.5" hidden="false" customHeight="true" outlineLevel="0" collapsed="false">
      <c r="A494" s="121"/>
      <c r="B494" s="122"/>
      <c r="C494" s="121"/>
      <c r="D494" s="140"/>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ustomFormat="false" ht="13.5" hidden="false" customHeight="true" outlineLevel="0" collapsed="false">
      <c r="A495" s="121"/>
      <c r="B495" s="122"/>
      <c r="C495" s="121"/>
      <c r="D495" s="140"/>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ustomFormat="false" ht="13.5" hidden="false" customHeight="true" outlineLevel="0" collapsed="false">
      <c r="A496" s="121"/>
      <c r="B496" s="122"/>
      <c r="C496" s="121"/>
      <c r="D496" s="140"/>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ustomFormat="false" ht="13.5" hidden="false" customHeight="true" outlineLevel="0" collapsed="false">
      <c r="A497" s="121"/>
      <c r="B497" s="122"/>
      <c r="C497" s="121"/>
      <c r="D497" s="140"/>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ustomFormat="false" ht="13.5" hidden="false" customHeight="true" outlineLevel="0" collapsed="false">
      <c r="A498" s="121"/>
      <c r="B498" s="122"/>
      <c r="C498" s="121"/>
      <c r="D498" s="140"/>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ustomFormat="false" ht="13.5" hidden="false" customHeight="true" outlineLevel="0" collapsed="false">
      <c r="A499" s="121"/>
      <c r="B499" s="122"/>
      <c r="C499" s="121"/>
      <c r="D499" s="140"/>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ustomFormat="false" ht="13.5" hidden="false" customHeight="true" outlineLevel="0" collapsed="false">
      <c r="A500" s="121"/>
      <c r="B500" s="122"/>
      <c r="C500" s="121"/>
      <c r="D500" s="140"/>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ustomFormat="false" ht="13.5" hidden="false" customHeight="true" outlineLevel="0" collapsed="false">
      <c r="A501" s="121"/>
      <c r="B501" s="122"/>
      <c r="C501" s="121"/>
      <c r="D501" s="140"/>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ustomFormat="false" ht="13.5" hidden="false" customHeight="true" outlineLevel="0" collapsed="false">
      <c r="A502" s="121"/>
      <c r="B502" s="122"/>
      <c r="C502" s="121"/>
      <c r="D502" s="140"/>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ustomFormat="false" ht="13.5" hidden="false" customHeight="true" outlineLevel="0" collapsed="false">
      <c r="A503" s="121"/>
      <c r="B503" s="122"/>
      <c r="C503" s="121"/>
      <c r="D503" s="140"/>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ustomFormat="false" ht="13.5" hidden="false" customHeight="true" outlineLevel="0" collapsed="false">
      <c r="A504" s="121"/>
      <c r="B504" s="122"/>
      <c r="C504" s="121"/>
      <c r="D504" s="140"/>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ustomFormat="false" ht="13.5" hidden="false" customHeight="true" outlineLevel="0" collapsed="false">
      <c r="A505" s="121"/>
      <c r="B505" s="122"/>
      <c r="C505" s="121"/>
      <c r="D505" s="140"/>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ustomFormat="false" ht="13.5" hidden="false" customHeight="true" outlineLevel="0" collapsed="false">
      <c r="A506" s="121"/>
      <c r="B506" s="122"/>
      <c r="C506" s="121"/>
      <c r="D506" s="140"/>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ustomFormat="false" ht="13.5" hidden="false" customHeight="true" outlineLevel="0" collapsed="false">
      <c r="A507" s="121"/>
      <c r="B507" s="122"/>
      <c r="C507" s="121"/>
      <c r="D507" s="140"/>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ustomFormat="false" ht="13.5" hidden="false" customHeight="true" outlineLevel="0" collapsed="false">
      <c r="A508" s="121"/>
      <c r="B508" s="122"/>
      <c r="C508" s="121"/>
      <c r="D508" s="140"/>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ustomFormat="false" ht="13.5" hidden="false" customHeight="true" outlineLevel="0" collapsed="false">
      <c r="A509" s="121"/>
      <c r="B509" s="122"/>
      <c r="C509" s="121"/>
      <c r="D509" s="140"/>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ustomFormat="false" ht="13.5" hidden="false" customHeight="true" outlineLevel="0" collapsed="false">
      <c r="A510" s="121"/>
      <c r="B510" s="122"/>
      <c r="C510" s="121"/>
      <c r="D510" s="140"/>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ustomFormat="false" ht="13.5" hidden="false" customHeight="true" outlineLevel="0" collapsed="false">
      <c r="A511" s="121"/>
      <c r="B511" s="122"/>
      <c r="C511" s="121"/>
      <c r="D511" s="140"/>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ustomFormat="false" ht="13.5" hidden="false" customHeight="true" outlineLevel="0" collapsed="false">
      <c r="A512" s="121"/>
      <c r="B512" s="122"/>
      <c r="C512" s="121"/>
      <c r="D512" s="140"/>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ustomFormat="false" ht="13.5" hidden="false" customHeight="true" outlineLevel="0" collapsed="false">
      <c r="A513" s="121"/>
      <c r="B513" s="122"/>
      <c r="C513" s="121"/>
      <c r="D513" s="140"/>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ustomFormat="false" ht="13.5" hidden="false" customHeight="true" outlineLevel="0" collapsed="false">
      <c r="A514" s="121"/>
      <c r="B514" s="122"/>
      <c r="C514" s="121"/>
      <c r="D514" s="140"/>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ustomFormat="false" ht="13.5" hidden="false" customHeight="true" outlineLevel="0" collapsed="false">
      <c r="A515" s="121"/>
      <c r="B515" s="122"/>
      <c r="C515" s="121"/>
      <c r="D515" s="140"/>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ustomFormat="false" ht="13.5" hidden="false" customHeight="true" outlineLevel="0" collapsed="false">
      <c r="A516" s="121"/>
      <c r="B516" s="122"/>
      <c r="C516" s="121"/>
      <c r="D516" s="140"/>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ustomFormat="false" ht="13.5" hidden="false" customHeight="true" outlineLevel="0" collapsed="false">
      <c r="A517" s="121"/>
      <c r="B517" s="122"/>
      <c r="C517" s="121"/>
      <c r="D517" s="140"/>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ustomFormat="false" ht="13.5" hidden="false" customHeight="true" outlineLevel="0" collapsed="false">
      <c r="A518" s="121"/>
      <c r="B518" s="122"/>
      <c r="C518" s="121"/>
      <c r="D518" s="140"/>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ustomFormat="false" ht="13.5" hidden="false" customHeight="true" outlineLevel="0" collapsed="false">
      <c r="A519" s="121"/>
      <c r="B519" s="122"/>
      <c r="C519" s="121"/>
      <c r="D519" s="140"/>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ustomFormat="false" ht="13.5" hidden="false" customHeight="true" outlineLevel="0" collapsed="false">
      <c r="A520" s="121"/>
      <c r="B520" s="122"/>
      <c r="C520" s="121"/>
      <c r="D520" s="140"/>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ustomFormat="false" ht="13.5" hidden="false" customHeight="true" outlineLevel="0" collapsed="false">
      <c r="A521" s="121"/>
      <c r="B521" s="122"/>
      <c r="C521" s="121"/>
      <c r="D521" s="140"/>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ustomFormat="false" ht="13.5" hidden="false" customHeight="true" outlineLevel="0" collapsed="false">
      <c r="A522" s="121"/>
      <c r="B522" s="122"/>
      <c r="C522" s="121"/>
      <c r="D522" s="140"/>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ustomFormat="false" ht="13.5" hidden="false" customHeight="true" outlineLevel="0" collapsed="false">
      <c r="A523" s="121"/>
      <c r="B523" s="122"/>
      <c r="C523" s="121"/>
      <c r="D523" s="140"/>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ustomFormat="false" ht="13.5" hidden="false" customHeight="true" outlineLevel="0" collapsed="false">
      <c r="A524" s="121"/>
      <c r="B524" s="122"/>
      <c r="C524" s="121"/>
      <c r="D524" s="140"/>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ustomFormat="false" ht="13.5" hidden="false" customHeight="true" outlineLevel="0" collapsed="false">
      <c r="A525" s="121"/>
      <c r="B525" s="122"/>
      <c r="C525" s="121"/>
      <c r="D525" s="140"/>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ustomFormat="false" ht="13.5" hidden="false" customHeight="true" outlineLevel="0" collapsed="false">
      <c r="A526" s="121"/>
      <c r="B526" s="122"/>
      <c r="C526" s="121"/>
      <c r="D526" s="140"/>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ustomFormat="false" ht="13.5" hidden="false" customHeight="true" outlineLevel="0" collapsed="false">
      <c r="A527" s="121"/>
      <c r="B527" s="122"/>
      <c r="C527" s="121"/>
      <c r="D527" s="140"/>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ustomFormat="false" ht="13.5" hidden="false" customHeight="true" outlineLevel="0" collapsed="false">
      <c r="A528" s="121"/>
      <c r="B528" s="122"/>
      <c r="C528" s="121"/>
      <c r="D528" s="140"/>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ustomFormat="false" ht="13.5" hidden="false" customHeight="true" outlineLevel="0" collapsed="false">
      <c r="A529" s="121"/>
      <c r="B529" s="122"/>
      <c r="C529" s="121"/>
      <c r="D529" s="140"/>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ustomFormat="false" ht="13.5" hidden="false" customHeight="true" outlineLevel="0" collapsed="false">
      <c r="A530" s="121"/>
      <c r="B530" s="122"/>
      <c r="C530" s="121"/>
      <c r="D530" s="140"/>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ustomFormat="false" ht="13.5" hidden="false" customHeight="true" outlineLevel="0" collapsed="false">
      <c r="A531" s="121"/>
      <c r="B531" s="122"/>
      <c r="C531" s="121"/>
      <c r="D531" s="140"/>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ustomFormat="false" ht="13.5" hidden="false" customHeight="true" outlineLevel="0" collapsed="false">
      <c r="A532" s="121"/>
      <c r="B532" s="122"/>
      <c r="C532" s="121"/>
      <c r="D532" s="140"/>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ustomFormat="false" ht="13.5" hidden="false" customHeight="true" outlineLevel="0" collapsed="false">
      <c r="A533" s="121"/>
      <c r="B533" s="122"/>
      <c r="C533" s="121"/>
      <c r="D533" s="140"/>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ustomFormat="false" ht="13.5" hidden="false" customHeight="true" outlineLevel="0" collapsed="false">
      <c r="A534" s="121"/>
      <c r="B534" s="122"/>
      <c r="C534" s="121"/>
      <c r="D534" s="140"/>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ustomFormat="false" ht="13.5" hidden="false" customHeight="true" outlineLevel="0" collapsed="false">
      <c r="A535" s="121"/>
      <c r="B535" s="122"/>
      <c r="C535" s="121"/>
      <c r="D535" s="140"/>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ustomFormat="false" ht="13.5" hidden="false" customHeight="true" outlineLevel="0" collapsed="false">
      <c r="A536" s="121"/>
      <c r="B536" s="122"/>
      <c r="C536" s="121"/>
      <c r="D536" s="140"/>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ustomFormat="false" ht="13.5" hidden="false" customHeight="true" outlineLevel="0" collapsed="false">
      <c r="A537" s="121"/>
      <c r="B537" s="122"/>
      <c r="C537" s="121"/>
      <c r="D537" s="140"/>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ustomFormat="false" ht="13.5" hidden="false" customHeight="true" outlineLevel="0" collapsed="false">
      <c r="A538" s="121"/>
      <c r="B538" s="122"/>
      <c r="C538" s="121"/>
      <c r="D538" s="140"/>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ustomFormat="false" ht="13.5" hidden="false" customHeight="true" outlineLevel="0" collapsed="false">
      <c r="A539" s="121"/>
      <c r="B539" s="122"/>
      <c r="C539" s="121"/>
      <c r="D539" s="140"/>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ustomFormat="false" ht="13.5" hidden="false" customHeight="true" outlineLevel="0" collapsed="false">
      <c r="A540" s="121"/>
      <c r="B540" s="122"/>
      <c r="C540" s="121"/>
      <c r="D540" s="140"/>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ustomFormat="false" ht="13.5" hidden="false" customHeight="true" outlineLevel="0" collapsed="false">
      <c r="A541" s="121"/>
      <c r="B541" s="122"/>
      <c r="C541" s="121"/>
      <c r="D541" s="140"/>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ustomFormat="false" ht="13.5" hidden="false" customHeight="true" outlineLevel="0" collapsed="false">
      <c r="A542" s="121"/>
      <c r="B542" s="122"/>
      <c r="C542" s="121"/>
      <c r="D542" s="140"/>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ustomFormat="false" ht="13.5" hidden="false" customHeight="true" outlineLevel="0" collapsed="false">
      <c r="A543" s="121"/>
      <c r="B543" s="122"/>
      <c r="C543" s="121"/>
      <c r="D543" s="140"/>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ustomFormat="false" ht="13.5" hidden="false" customHeight="true" outlineLevel="0" collapsed="false">
      <c r="A544" s="121"/>
      <c r="B544" s="122"/>
      <c r="C544" s="121"/>
      <c r="D544" s="140"/>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ustomFormat="false" ht="13.5" hidden="false" customHeight="true" outlineLevel="0" collapsed="false">
      <c r="A545" s="121"/>
      <c r="B545" s="122"/>
      <c r="C545" s="121"/>
      <c r="D545" s="140"/>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ustomFormat="false" ht="13.5" hidden="false" customHeight="true" outlineLevel="0" collapsed="false">
      <c r="A546" s="121"/>
      <c r="B546" s="122"/>
      <c r="C546" s="121"/>
      <c r="D546" s="140"/>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ustomFormat="false" ht="13.5" hidden="false" customHeight="true" outlineLevel="0" collapsed="false">
      <c r="A547" s="121"/>
      <c r="B547" s="122"/>
      <c r="C547" s="121"/>
      <c r="D547" s="140"/>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ustomFormat="false" ht="13.5" hidden="false" customHeight="true" outlineLevel="0" collapsed="false">
      <c r="A548" s="121"/>
      <c r="B548" s="122"/>
      <c r="C548" s="121"/>
      <c r="D548" s="140"/>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ustomFormat="false" ht="13.5" hidden="false" customHeight="true" outlineLevel="0" collapsed="false">
      <c r="A549" s="121"/>
      <c r="B549" s="122"/>
      <c r="C549" s="121"/>
      <c r="D549" s="140"/>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ustomFormat="false" ht="13.5" hidden="false" customHeight="true" outlineLevel="0" collapsed="false">
      <c r="A550" s="121"/>
      <c r="B550" s="122"/>
      <c r="C550" s="121"/>
      <c r="D550" s="140"/>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ustomFormat="false" ht="13.5" hidden="false" customHeight="true" outlineLevel="0" collapsed="false">
      <c r="A551" s="121"/>
      <c r="B551" s="122"/>
      <c r="C551" s="121"/>
      <c r="D551" s="140"/>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ustomFormat="false" ht="13.5" hidden="false" customHeight="true" outlineLevel="0" collapsed="false">
      <c r="A552" s="121"/>
      <c r="B552" s="122"/>
      <c r="C552" s="121"/>
      <c r="D552" s="140"/>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ustomFormat="false" ht="13.5" hidden="false" customHeight="true" outlineLevel="0" collapsed="false">
      <c r="A553" s="121"/>
      <c r="B553" s="122"/>
      <c r="C553" s="121"/>
      <c r="D553" s="140"/>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ustomFormat="false" ht="13.5" hidden="false" customHeight="true" outlineLevel="0" collapsed="false">
      <c r="A554" s="121"/>
      <c r="B554" s="122"/>
      <c r="C554" s="121"/>
      <c r="D554" s="140"/>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ustomFormat="false" ht="13.5" hidden="false" customHeight="true" outlineLevel="0" collapsed="false">
      <c r="A555" s="121"/>
      <c r="B555" s="122"/>
      <c r="C555" s="121"/>
      <c r="D555" s="140"/>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ustomFormat="false" ht="13.5" hidden="false" customHeight="true" outlineLevel="0" collapsed="false">
      <c r="A556" s="121"/>
      <c r="B556" s="122"/>
      <c r="C556" s="121"/>
      <c r="D556" s="140"/>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ustomFormat="false" ht="13.5" hidden="false" customHeight="true" outlineLevel="0" collapsed="false">
      <c r="A557" s="121"/>
      <c r="B557" s="122"/>
      <c r="C557" s="121"/>
      <c r="D557" s="140"/>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ustomFormat="false" ht="13.5" hidden="false" customHeight="true" outlineLevel="0" collapsed="false">
      <c r="A558" s="121"/>
      <c r="B558" s="122"/>
      <c r="C558" s="121"/>
      <c r="D558" s="140"/>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ustomFormat="false" ht="13.5" hidden="false" customHeight="true" outlineLevel="0" collapsed="false">
      <c r="A559" s="121"/>
      <c r="B559" s="122"/>
      <c r="C559" s="121"/>
      <c r="D559" s="140"/>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ustomFormat="false" ht="13.5" hidden="false" customHeight="true" outlineLevel="0" collapsed="false">
      <c r="A560" s="121"/>
      <c r="B560" s="122"/>
      <c r="C560" s="121"/>
      <c r="D560" s="140"/>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ustomFormat="false" ht="13.5" hidden="false" customHeight="true" outlineLevel="0" collapsed="false">
      <c r="A561" s="121"/>
      <c r="B561" s="122"/>
      <c r="C561" s="121"/>
      <c r="D561" s="140"/>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ustomFormat="false" ht="13.5" hidden="false" customHeight="true" outlineLevel="0" collapsed="false">
      <c r="A562" s="121"/>
      <c r="B562" s="122"/>
      <c r="C562" s="121"/>
      <c r="D562" s="140"/>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ustomFormat="false" ht="13.5" hidden="false" customHeight="true" outlineLevel="0" collapsed="false">
      <c r="A563" s="121"/>
      <c r="B563" s="122"/>
      <c r="C563" s="121"/>
      <c r="D563" s="140"/>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ustomFormat="false" ht="13.5" hidden="false" customHeight="true" outlineLevel="0" collapsed="false">
      <c r="A564" s="121"/>
      <c r="B564" s="122"/>
      <c r="C564" s="121"/>
      <c r="D564" s="140"/>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ustomFormat="false" ht="13.5" hidden="false" customHeight="true" outlineLevel="0" collapsed="false">
      <c r="A565" s="121"/>
      <c r="B565" s="122"/>
      <c r="C565" s="121"/>
      <c r="D565" s="140"/>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ustomFormat="false" ht="13.5" hidden="false" customHeight="true" outlineLevel="0" collapsed="false">
      <c r="A566" s="121"/>
      <c r="B566" s="122"/>
      <c r="C566" s="121"/>
      <c r="D566" s="140"/>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ustomFormat="false" ht="13.5" hidden="false" customHeight="true" outlineLevel="0" collapsed="false">
      <c r="A567" s="121"/>
      <c r="B567" s="122"/>
      <c r="C567" s="121"/>
      <c r="D567" s="140"/>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ustomFormat="false" ht="13.5" hidden="false" customHeight="true" outlineLevel="0" collapsed="false">
      <c r="A568" s="121"/>
      <c r="B568" s="122"/>
      <c r="C568" s="121"/>
      <c r="D568" s="140"/>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ustomFormat="false" ht="13.5" hidden="false" customHeight="true" outlineLevel="0" collapsed="false">
      <c r="A569" s="121"/>
      <c r="B569" s="122"/>
      <c r="C569" s="121"/>
      <c r="D569" s="140"/>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ustomFormat="false" ht="13.5" hidden="false" customHeight="true" outlineLevel="0" collapsed="false">
      <c r="A570" s="121"/>
      <c r="B570" s="122"/>
      <c r="C570" s="121"/>
      <c r="D570" s="140"/>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ustomFormat="false" ht="13.5" hidden="false" customHeight="true" outlineLevel="0" collapsed="false">
      <c r="A571" s="121"/>
      <c r="B571" s="122"/>
      <c r="C571" s="121"/>
      <c r="D571" s="140"/>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ustomFormat="false" ht="13.5" hidden="false" customHeight="true" outlineLevel="0" collapsed="false">
      <c r="A572" s="121"/>
      <c r="B572" s="122"/>
      <c r="C572" s="121"/>
      <c r="D572" s="140"/>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ustomFormat="false" ht="13.5" hidden="false" customHeight="true" outlineLevel="0" collapsed="false">
      <c r="A573" s="121"/>
      <c r="B573" s="122"/>
      <c r="C573" s="121"/>
      <c r="D573" s="140"/>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ustomFormat="false" ht="13.5" hidden="false" customHeight="true" outlineLevel="0" collapsed="false">
      <c r="A574" s="121"/>
      <c r="B574" s="122"/>
      <c r="C574" s="121"/>
      <c r="D574" s="140"/>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ustomFormat="false" ht="13.5" hidden="false" customHeight="true" outlineLevel="0" collapsed="false">
      <c r="A575" s="121"/>
      <c r="B575" s="122"/>
      <c r="C575" s="121"/>
      <c r="D575" s="140"/>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ustomFormat="false" ht="13.5" hidden="false" customHeight="true" outlineLevel="0" collapsed="false">
      <c r="A576" s="121"/>
      <c r="B576" s="122"/>
      <c r="C576" s="121"/>
      <c r="D576" s="140"/>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ustomFormat="false" ht="13.5" hidden="false" customHeight="true" outlineLevel="0" collapsed="false">
      <c r="A577" s="121"/>
      <c r="B577" s="122"/>
      <c r="C577" s="121"/>
      <c r="D577" s="140"/>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ustomFormat="false" ht="13.5" hidden="false" customHeight="true" outlineLevel="0" collapsed="false">
      <c r="A578" s="121"/>
      <c r="B578" s="122"/>
      <c r="C578" s="121"/>
      <c r="D578" s="140"/>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ustomFormat="false" ht="13.5" hidden="false" customHeight="true" outlineLevel="0" collapsed="false">
      <c r="A579" s="121"/>
      <c r="B579" s="122"/>
      <c r="C579" s="121"/>
      <c r="D579" s="140"/>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ustomFormat="false" ht="13.5" hidden="false" customHeight="true" outlineLevel="0" collapsed="false">
      <c r="A580" s="121"/>
      <c r="B580" s="122"/>
      <c r="C580" s="121"/>
      <c r="D580" s="140"/>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ustomFormat="false" ht="13.5" hidden="false" customHeight="true" outlineLevel="0" collapsed="false">
      <c r="A581" s="121"/>
      <c r="B581" s="122"/>
      <c r="C581" s="121"/>
      <c r="D581" s="140"/>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ustomFormat="false" ht="13.5" hidden="false" customHeight="true" outlineLevel="0" collapsed="false">
      <c r="A582" s="121"/>
      <c r="B582" s="122"/>
      <c r="C582" s="121"/>
      <c r="D582" s="140"/>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ustomFormat="false" ht="13.5" hidden="false" customHeight="true" outlineLevel="0" collapsed="false">
      <c r="A583" s="121"/>
      <c r="B583" s="122"/>
      <c r="C583" s="121"/>
      <c r="D583" s="140"/>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ustomFormat="false" ht="13.5" hidden="false" customHeight="true" outlineLevel="0" collapsed="false">
      <c r="A584" s="121"/>
      <c r="B584" s="122"/>
      <c r="C584" s="121"/>
      <c r="D584" s="140"/>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ustomFormat="false" ht="13.5" hidden="false" customHeight="true" outlineLevel="0" collapsed="false">
      <c r="A585" s="121"/>
      <c r="B585" s="122"/>
      <c r="C585" s="121"/>
      <c r="D585" s="140"/>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ustomFormat="false" ht="13.5" hidden="false" customHeight="true" outlineLevel="0" collapsed="false">
      <c r="A586" s="121"/>
      <c r="B586" s="122"/>
      <c r="C586" s="121"/>
      <c r="D586" s="140"/>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ustomFormat="false" ht="13.5" hidden="false" customHeight="true" outlineLevel="0" collapsed="false">
      <c r="A587" s="121"/>
      <c r="B587" s="122"/>
      <c r="C587" s="121"/>
      <c r="D587" s="140"/>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ustomFormat="false" ht="13.5" hidden="false" customHeight="true" outlineLevel="0" collapsed="false">
      <c r="A588" s="121"/>
      <c r="B588" s="122"/>
      <c r="C588" s="121"/>
      <c r="D588" s="140"/>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ustomFormat="false" ht="13.5" hidden="false" customHeight="true" outlineLevel="0" collapsed="false">
      <c r="A589" s="121"/>
      <c r="B589" s="122"/>
      <c r="C589" s="121"/>
      <c r="D589" s="140"/>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ustomFormat="false" ht="13.5" hidden="false" customHeight="true" outlineLevel="0" collapsed="false">
      <c r="A590" s="121"/>
      <c r="B590" s="122"/>
      <c r="C590" s="121"/>
      <c r="D590" s="140"/>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ustomFormat="false" ht="13.5" hidden="false" customHeight="true" outlineLevel="0" collapsed="false">
      <c r="A591" s="121"/>
      <c r="B591" s="122"/>
      <c r="C591" s="121"/>
      <c r="D591" s="140"/>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ustomFormat="false" ht="13.5" hidden="false" customHeight="true" outlineLevel="0" collapsed="false">
      <c r="A592" s="121"/>
      <c r="B592" s="122"/>
      <c r="C592" s="121"/>
      <c r="D592" s="140"/>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ustomFormat="false" ht="13.5" hidden="false" customHeight="true" outlineLevel="0" collapsed="false">
      <c r="A593" s="121"/>
      <c r="B593" s="122"/>
      <c r="C593" s="121"/>
      <c r="D593" s="140"/>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ustomFormat="false" ht="13.5" hidden="false" customHeight="true" outlineLevel="0" collapsed="false">
      <c r="A594" s="121"/>
      <c r="B594" s="122"/>
      <c r="C594" s="121"/>
      <c r="D594" s="140"/>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ustomFormat="false" ht="13.5" hidden="false" customHeight="true" outlineLevel="0" collapsed="false">
      <c r="A595" s="121"/>
      <c r="B595" s="122"/>
      <c r="C595" s="121"/>
      <c r="D595" s="140"/>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ustomFormat="false" ht="13.5" hidden="false" customHeight="true" outlineLevel="0" collapsed="false">
      <c r="A596" s="121"/>
      <c r="B596" s="122"/>
      <c r="C596" s="121"/>
      <c r="D596" s="140"/>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ustomFormat="false" ht="13.5" hidden="false" customHeight="true" outlineLevel="0" collapsed="false">
      <c r="A597" s="121"/>
      <c r="B597" s="122"/>
      <c r="C597" s="121"/>
      <c r="D597" s="140"/>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ustomFormat="false" ht="13.5" hidden="false" customHeight="true" outlineLevel="0" collapsed="false">
      <c r="A598" s="121"/>
      <c r="B598" s="122"/>
      <c r="C598" s="121"/>
      <c r="D598" s="140"/>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ustomFormat="false" ht="13.5" hidden="false" customHeight="true" outlineLevel="0" collapsed="false">
      <c r="A599" s="121"/>
      <c r="B599" s="122"/>
      <c r="C599" s="121"/>
      <c r="D599" s="140"/>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ustomFormat="false" ht="13.5" hidden="false" customHeight="true" outlineLevel="0" collapsed="false">
      <c r="A600" s="121"/>
      <c r="B600" s="122"/>
      <c r="C600" s="121"/>
      <c r="D600" s="140"/>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ustomFormat="false" ht="13.5" hidden="false" customHeight="true" outlineLevel="0" collapsed="false">
      <c r="A601" s="121"/>
      <c r="B601" s="122"/>
      <c r="C601" s="121"/>
      <c r="D601" s="140"/>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ustomFormat="false" ht="13.5" hidden="false" customHeight="true" outlineLevel="0" collapsed="false">
      <c r="A602" s="121"/>
      <c r="B602" s="122"/>
      <c r="C602" s="121"/>
      <c r="D602" s="140"/>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ustomFormat="false" ht="13.5" hidden="false" customHeight="true" outlineLevel="0" collapsed="false">
      <c r="A603" s="121"/>
      <c r="B603" s="122"/>
      <c r="C603" s="121"/>
      <c r="D603" s="140"/>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ustomFormat="false" ht="13.5" hidden="false" customHeight="true" outlineLevel="0" collapsed="false">
      <c r="A604" s="121"/>
      <c r="B604" s="122"/>
      <c r="C604" s="121"/>
      <c r="D604" s="140"/>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ustomFormat="false" ht="13.5" hidden="false" customHeight="true" outlineLevel="0" collapsed="false">
      <c r="A605" s="121"/>
      <c r="B605" s="122"/>
      <c r="C605" s="121"/>
      <c r="D605" s="140"/>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ustomFormat="false" ht="13.5" hidden="false" customHeight="true" outlineLevel="0" collapsed="false">
      <c r="A606" s="121"/>
      <c r="B606" s="122"/>
      <c r="C606" s="121"/>
      <c r="D606" s="140"/>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ustomFormat="false" ht="13.5" hidden="false" customHeight="true" outlineLevel="0" collapsed="false">
      <c r="A607" s="121"/>
      <c r="B607" s="122"/>
      <c r="C607" s="121"/>
      <c r="D607" s="140"/>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ustomFormat="false" ht="13.5" hidden="false" customHeight="true" outlineLevel="0" collapsed="false">
      <c r="A608" s="121"/>
      <c r="B608" s="122"/>
      <c r="C608" s="121"/>
      <c r="D608" s="140"/>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ustomFormat="false" ht="13.5" hidden="false" customHeight="true" outlineLevel="0" collapsed="false">
      <c r="A609" s="121"/>
      <c r="B609" s="122"/>
      <c r="C609" s="121"/>
      <c r="D609" s="140"/>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ustomFormat="false" ht="13.5" hidden="false" customHeight="true" outlineLevel="0" collapsed="false">
      <c r="A610" s="121"/>
      <c r="B610" s="122"/>
      <c r="C610" s="121"/>
      <c r="D610" s="140"/>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ustomFormat="false" ht="13.5" hidden="false" customHeight="true" outlineLevel="0" collapsed="false">
      <c r="A611" s="121"/>
      <c r="B611" s="122"/>
      <c r="C611" s="121"/>
      <c r="D611" s="140"/>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ustomFormat="false" ht="13.5" hidden="false" customHeight="true" outlineLevel="0" collapsed="false">
      <c r="A612" s="121"/>
      <c r="B612" s="122"/>
      <c r="C612" s="121"/>
      <c r="D612" s="140"/>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ustomFormat="false" ht="13.5" hidden="false" customHeight="true" outlineLevel="0" collapsed="false">
      <c r="A613" s="121"/>
      <c r="B613" s="122"/>
      <c r="C613" s="121"/>
      <c r="D613" s="140"/>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ustomFormat="false" ht="13.5" hidden="false" customHeight="true" outlineLevel="0" collapsed="false">
      <c r="A614" s="121"/>
      <c r="B614" s="122"/>
      <c r="C614" s="121"/>
      <c r="D614" s="140"/>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ustomFormat="false" ht="13.5" hidden="false" customHeight="true" outlineLevel="0" collapsed="false">
      <c r="A615" s="121"/>
      <c r="B615" s="122"/>
      <c r="C615" s="121"/>
      <c r="D615" s="140"/>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ustomFormat="false" ht="13.5" hidden="false" customHeight="true" outlineLevel="0" collapsed="false">
      <c r="A616" s="121"/>
      <c r="B616" s="122"/>
      <c r="C616" s="121"/>
      <c r="D616" s="140"/>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ustomFormat="false" ht="13.5" hidden="false" customHeight="true" outlineLevel="0" collapsed="false">
      <c r="A617" s="121"/>
      <c r="B617" s="122"/>
      <c r="C617" s="121"/>
      <c r="D617" s="140"/>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ustomFormat="false" ht="13.5" hidden="false" customHeight="true" outlineLevel="0" collapsed="false">
      <c r="A618" s="121"/>
      <c r="B618" s="122"/>
      <c r="C618" s="121"/>
      <c r="D618" s="140"/>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ustomFormat="false" ht="13.5" hidden="false" customHeight="true" outlineLevel="0" collapsed="false">
      <c r="A619" s="121"/>
      <c r="B619" s="122"/>
      <c r="C619" s="121"/>
      <c r="D619" s="140"/>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ustomFormat="false" ht="13.5" hidden="false" customHeight="true" outlineLevel="0" collapsed="false">
      <c r="A620" s="121"/>
      <c r="B620" s="122"/>
      <c r="C620" s="121"/>
      <c r="D620" s="140"/>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ustomFormat="false" ht="13.5" hidden="false" customHeight="true" outlineLevel="0" collapsed="false">
      <c r="A621" s="121"/>
      <c r="B621" s="122"/>
      <c r="C621" s="121"/>
      <c r="D621" s="140"/>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ustomFormat="false" ht="13.5" hidden="false" customHeight="true" outlineLevel="0" collapsed="false">
      <c r="A622" s="121"/>
      <c r="B622" s="122"/>
      <c r="C622" s="121"/>
      <c r="D622" s="140"/>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ustomFormat="false" ht="13.5" hidden="false" customHeight="true" outlineLevel="0" collapsed="false">
      <c r="A623" s="121"/>
      <c r="B623" s="122"/>
      <c r="C623" s="121"/>
      <c r="D623" s="140"/>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ustomFormat="false" ht="13.5" hidden="false" customHeight="true" outlineLevel="0" collapsed="false">
      <c r="A624" s="121"/>
      <c r="B624" s="122"/>
      <c r="C624" s="121"/>
      <c r="D624" s="140"/>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ustomFormat="false" ht="13.5" hidden="false" customHeight="true" outlineLevel="0" collapsed="false">
      <c r="A625" s="121"/>
      <c r="B625" s="122"/>
      <c r="C625" s="121"/>
      <c r="D625" s="140"/>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ustomFormat="false" ht="13.5" hidden="false" customHeight="true" outlineLevel="0" collapsed="false">
      <c r="A626" s="121"/>
      <c r="B626" s="122"/>
      <c r="C626" s="121"/>
      <c r="D626" s="140"/>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ustomFormat="false" ht="13.5" hidden="false" customHeight="true" outlineLevel="0" collapsed="false">
      <c r="A627" s="121"/>
      <c r="B627" s="122"/>
      <c r="C627" s="121"/>
      <c r="D627" s="140"/>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ustomFormat="false" ht="13.5" hidden="false" customHeight="true" outlineLevel="0" collapsed="false">
      <c r="A628" s="121"/>
      <c r="B628" s="122"/>
      <c r="C628" s="121"/>
      <c r="D628" s="140"/>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ustomFormat="false" ht="13.5" hidden="false" customHeight="true" outlineLevel="0" collapsed="false">
      <c r="A629" s="121"/>
      <c r="B629" s="122"/>
      <c r="C629" s="121"/>
      <c r="D629" s="140"/>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ustomFormat="false" ht="13.5" hidden="false" customHeight="true" outlineLevel="0" collapsed="false">
      <c r="A630" s="121"/>
      <c r="B630" s="122"/>
      <c r="C630" s="121"/>
      <c r="D630" s="140"/>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ustomFormat="false" ht="13.5" hidden="false" customHeight="true" outlineLevel="0" collapsed="false">
      <c r="A631" s="121"/>
      <c r="B631" s="122"/>
      <c r="C631" s="121"/>
      <c r="D631" s="140"/>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ustomFormat="false" ht="13.5" hidden="false" customHeight="true" outlineLevel="0" collapsed="false">
      <c r="A632" s="121"/>
      <c r="B632" s="122"/>
      <c r="C632" s="121"/>
      <c r="D632" s="140"/>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ustomFormat="false" ht="13.5" hidden="false" customHeight="true" outlineLevel="0" collapsed="false">
      <c r="A633" s="121"/>
      <c r="B633" s="122"/>
      <c r="C633" s="121"/>
      <c r="D633" s="140"/>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ustomFormat="false" ht="13.5" hidden="false" customHeight="true" outlineLevel="0" collapsed="false">
      <c r="A634" s="121"/>
      <c r="B634" s="122"/>
      <c r="C634" s="121"/>
      <c r="D634" s="140"/>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ustomFormat="false" ht="13.5" hidden="false" customHeight="true" outlineLevel="0" collapsed="false">
      <c r="A635" s="121"/>
      <c r="B635" s="122"/>
      <c r="C635" s="121"/>
      <c r="D635" s="140"/>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ustomFormat="false" ht="13.5" hidden="false" customHeight="true" outlineLevel="0" collapsed="false">
      <c r="A636" s="121"/>
      <c r="B636" s="122"/>
      <c r="C636" s="121"/>
      <c r="D636" s="140"/>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ustomFormat="false" ht="13.5" hidden="false" customHeight="true" outlineLevel="0" collapsed="false">
      <c r="A637" s="121"/>
      <c r="B637" s="122"/>
      <c r="C637" s="121"/>
      <c r="D637" s="140"/>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ustomFormat="false" ht="13.5" hidden="false" customHeight="true" outlineLevel="0" collapsed="false">
      <c r="A638" s="121"/>
      <c r="B638" s="122"/>
      <c r="C638" s="121"/>
      <c r="D638" s="140"/>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ustomFormat="false" ht="13.5" hidden="false" customHeight="true" outlineLevel="0" collapsed="false">
      <c r="A639" s="121"/>
      <c r="B639" s="122"/>
      <c r="C639" s="121"/>
      <c r="D639" s="140"/>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ustomFormat="false" ht="13.5" hidden="false" customHeight="true" outlineLevel="0" collapsed="false">
      <c r="A640" s="121"/>
      <c r="B640" s="122"/>
      <c r="C640" s="121"/>
      <c r="D640" s="140"/>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ustomFormat="false" ht="13.5" hidden="false" customHeight="true" outlineLevel="0" collapsed="false">
      <c r="A641" s="121"/>
      <c r="B641" s="122"/>
      <c r="C641" s="121"/>
      <c r="D641" s="140"/>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ustomFormat="false" ht="13.5" hidden="false" customHeight="true" outlineLevel="0" collapsed="false">
      <c r="A642" s="121"/>
      <c r="B642" s="122"/>
      <c r="C642" s="121"/>
      <c r="D642" s="140"/>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ustomFormat="false" ht="13.5" hidden="false" customHeight="true" outlineLevel="0" collapsed="false">
      <c r="A643" s="121"/>
      <c r="B643" s="122"/>
      <c r="C643" s="121"/>
      <c r="D643" s="140"/>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ustomFormat="false" ht="13.5" hidden="false" customHeight="true" outlineLevel="0" collapsed="false">
      <c r="A644" s="121"/>
      <c r="B644" s="122"/>
      <c r="C644" s="121"/>
      <c r="D644" s="140"/>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ustomFormat="false" ht="13.5" hidden="false" customHeight="true" outlineLevel="0" collapsed="false">
      <c r="A645" s="121"/>
      <c r="B645" s="122"/>
      <c r="C645" s="121"/>
      <c r="D645" s="140"/>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ustomFormat="false" ht="13.5" hidden="false" customHeight="true" outlineLevel="0" collapsed="false">
      <c r="A646" s="121"/>
      <c r="B646" s="122"/>
      <c r="C646" s="121"/>
      <c r="D646" s="140"/>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ustomFormat="false" ht="13.5" hidden="false" customHeight="true" outlineLevel="0" collapsed="false">
      <c r="A647" s="121"/>
      <c r="B647" s="122"/>
      <c r="C647" s="121"/>
      <c r="D647" s="140"/>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ustomFormat="false" ht="13.5" hidden="false" customHeight="true" outlineLevel="0" collapsed="false">
      <c r="A648" s="121"/>
      <c r="B648" s="122"/>
      <c r="C648" s="121"/>
      <c r="D648" s="140"/>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ustomFormat="false" ht="13.5" hidden="false" customHeight="true" outlineLevel="0" collapsed="false">
      <c r="A649" s="121"/>
      <c r="B649" s="122"/>
      <c r="C649" s="121"/>
      <c r="D649" s="140"/>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ustomFormat="false" ht="13.5" hidden="false" customHeight="true" outlineLevel="0" collapsed="false">
      <c r="A650" s="121"/>
      <c r="B650" s="122"/>
      <c r="C650" s="121"/>
      <c r="D650" s="140"/>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ustomFormat="false" ht="13.5" hidden="false" customHeight="true" outlineLevel="0" collapsed="false">
      <c r="A651" s="121"/>
      <c r="B651" s="122"/>
      <c r="C651" s="121"/>
      <c r="D651" s="140"/>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ustomFormat="false" ht="13.5" hidden="false" customHeight="true" outlineLevel="0" collapsed="false">
      <c r="A652" s="121"/>
      <c r="B652" s="122"/>
      <c r="C652" s="121"/>
      <c r="D652" s="140"/>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ustomFormat="false" ht="13.5" hidden="false" customHeight="true" outlineLevel="0" collapsed="false">
      <c r="A653" s="121"/>
      <c r="B653" s="122"/>
      <c r="C653" s="121"/>
      <c r="D653" s="140"/>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ustomFormat="false" ht="13.5" hidden="false" customHeight="true" outlineLevel="0" collapsed="false">
      <c r="A654" s="121"/>
      <c r="B654" s="122"/>
      <c r="C654" s="121"/>
      <c r="D654" s="140"/>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ustomFormat="false" ht="13.5" hidden="false" customHeight="true" outlineLevel="0" collapsed="false">
      <c r="A655" s="121"/>
      <c r="B655" s="122"/>
      <c r="C655" s="121"/>
      <c r="D655" s="140"/>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ustomFormat="false" ht="13.5" hidden="false" customHeight="true" outlineLevel="0" collapsed="false">
      <c r="A656" s="121"/>
      <c r="B656" s="122"/>
      <c r="C656" s="121"/>
      <c r="D656" s="140"/>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ustomFormat="false" ht="13.5" hidden="false" customHeight="true" outlineLevel="0" collapsed="false">
      <c r="A657" s="121"/>
      <c r="B657" s="122"/>
      <c r="C657" s="121"/>
      <c r="D657" s="140"/>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ustomFormat="false" ht="13.5" hidden="false" customHeight="true" outlineLevel="0" collapsed="false">
      <c r="A658" s="121"/>
      <c r="B658" s="122"/>
      <c r="C658" s="121"/>
      <c r="D658" s="140"/>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ustomFormat="false" ht="13.5" hidden="false" customHeight="true" outlineLevel="0" collapsed="false">
      <c r="A659" s="121"/>
      <c r="B659" s="122"/>
      <c r="C659" s="121"/>
      <c r="D659" s="140"/>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ustomFormat="false" ht="13.5" hidden="false" customHeight="true" outlineLevel="0" collapsed="false">
      <c r="A660" s="121"/>
      <c r="B660" s="122"/>
      <c r="C660" s="121"/>
      <c r="D660" s="140"/>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ustomFormat="false" ht="13.5" hidden="false" customHeight="true" outlineLevel="0" collapsed="false">
      <c r="A661" s="121"/>
      <c r="B661" s="122"/>
      <c r="C661" s="121"/>
      <c r="D661" s="140"/>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ustomFormat="false" ht="13.5" hidden="false" customHeight="true" outlineLevel="0" collapsed="false">
      <c r="A662" s="121"/>
      <c r="B662" s="122"/>
      <c r="C662" s="121"/>
      <c r="D662" s="140"/>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ustomFormat="false" ht="13.5" hidden="false" customHeight="true" outlineLevel="0" collapsed="false">
      <c r="A663" s="121"/>
      <c r="B663" s="122"/>
      <c r="C663" s="121"/>
      <c r="D663" s="140"/>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ustomFormat="false" ht="13.5" hidden="false" customHeight="true" outlineLevel="0" collapsed="false">
      <c r="A664" s="121"/>
      <c r="B664" s="122"/>
      <c r="C664" s="121"/>
      <c r="D664" s="140"/>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ustomFormat="false" ht="13.5" hidden="false" customHeight="true" outlineLevel="0" collapsed="false">
      <c r="A665" s="121"/>
      <c r="B665" s="122"/>
      <c r="C665" s="121"/>
      <c r="D665" s="140"/>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ustomFormat="false" ht="13.5" hidden="false" customHeight="true" outlineLevel="0" collapsed="false">
      <c r="A666" s="121"/>
      <c r="B666" s="122"/>
      <c r="C666" s="121"/>
      <c r="D666" s="140"/>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ustomFormat="false" ht="13.5" hidden="false" customHeight="true" outlineLevel="0" collapsed="false">
      <c r="A667" s="121"/>
      <c r="B667" s="122"/>
      <c r="C667" s="121"/>
      <c r="D667" s="140"/>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ustomFormat="false" ht="13.5" hidden="false" customHeight="true" outlineLevel="0" collapsed="false">
      <c r="A668" s="121"/>
      <c r="B668" s="122"/>
      <c r="C668" s="121"/>
      <c r="D668" s="140"/>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ustomFormat="false" ht="13.5" hidden="false" customHeight="true" outlineLevel="0" collapsed="false">
      <c r="A669" s="121"/>
      <c r="B669" s="122"/>
      <c r="C669" s="121"/>
      <c r="D669" s="140"/>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ustomFormat="false" ht="13.5" hidden="false" customHeight="true" outlineLevel="0" collapsed="false">
      <c r="A670" s="121"/>
      <c r="B670" s="122"/>
      <c r="C670" s="121"/>
      <c r="D670" s="140"/>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ustomFormat="false" ht="13.5" hidden="false" customHeight="true" outlineLevel="0" collapsed="false">
      <c r="A671" s="121"/>
      <c r="B671" s="122"/>
      <c r="C671" s="121"/>
      <c r="D671" s="140"/>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ustomFormat="false" ht="13.5" hidden="false" customHeight="true" outlineLevel="0" collapsed="false">
      <c r="A672" s="121"/>
      <c r="B672" s="122"/>
      <c r="C672" s="121"/>
      <c r="D672" s="140"/>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ustomFormat="false" ht="13.5" hidden="false" customHeight="true" outlineLevel="0" collapsed="false">
      <c r="A673" s="121"/>
      <c r="B673" s="122"/>
      <c r="C673" s="121"/>
      <c r="D673" s="140"/>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ustomFormat="false" ht="13.5" hidden="false" customHeight="true" outlineLevel="0" collapsed="false">
      <c r="A674" s="121"/>
      <c r="B674" s="122"/>
      <c r="C674" s="121"/>
      <c r="D674" s="140"/>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ustomFormat="false" ht="13.5" hidden="false" customHeight="true" outlineLevel="0" collapsed="false">
      <c r="A675" s="121"/>
      <c r="B675" s="122"/>
      <c r="C675" s="121"/>
      <c r="D675" s="140"/>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ustomFormat="false" ht="13.5" hidden="false" customHeight="true" outlineLevel="0" collapsed="false">
      <c r="A676" s="121"/>
      <c r="B676" s="122"/>
      <c r="C676" s="121"/>
      <c r="D676" s="140"/>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ustomFormat="false" ht="13.5" hidden="false" customHeight="true" outlineLevel="0" collapsed="false">
      <c r="A677" s="121"/>
      <c r="B677" s="122"/>
      <c r="C677" s="121"/>
      <c r="D677" s="140"/>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ustomFormat="false" ht="13.5" hidden="false" customHeight="true" outlineLevel="0" collapsed="false">
      <c r="A678" s="121"/>
      <c r="B678" s="122"/>
      <c r="C678" s="121"/>
      <c r="D678" s="140"/>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ustomFormat="false" ht="13.5" hidden="false" customHeight="true" outlineLevel="0" collapsed="false">
      <c r="A679" s="121"/>
      <c r="B679" s="122"/>
      <c r="C679" s="121"/>
      <c r="D679" s="140"/>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ustomFormat="false" ht="13.5" hidden="false" customHeight="true" outlineLevel="0" collapsed="false">
      <c r="A680" s="121"/>
      <c r="B680" s="122"/>
      <c r="C680" s="121"/>
      <c r="D680" s="140"/>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ustomFormat="false" ht="13.5" hidden="false" customHeight="true" outlineLevel="0" collapsed="false">
      <c r="A681" s="121"/>
      <c r="B681" s="122"/>
      <c r="C681" s="121"/>
      <c r="D681" s="140"/>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ustomFormat="false" ht="13.5" hidden="false" customHeight="true" outlineLevel="0" collapsed="false">
      <c r="A682" s="121"/>
      <c r="B682" s="122"/>
      <c r="C682" s="121"/>
      <c r="D682" s="140"/>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ustomFormat="false" ht="13.5" hidden="false" customHeight="true" outlineLevel="0" collapsed="false">
      <c r="A683" s="121"/>
      <c r="B683" s="122"/>
      <c r="C683" s="121"/>
      <c r="D683" s="140"/>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ustomFormat="false" ht="13.5" hidden="false" customHeight="true" outlineLevel="0" collapsed="false">
      <c r="A684" s="121"/>
      <c r="B684" s="122"/>
      <c r="C684" s="121"/>
      <c r="D684" s="140"/>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ustomFormat="false" ht="13.5" hidden="false" customHeight="true" outlineLevel="0" collapsed="false">
      <c r="A685" s="121"/>
      <c r="B685" s="122"/>
      <c r="C685" s="121"/>
      <c r="D685" s="140"/>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ustomFormat="false" ht="13.5" hidden="false" customHeight="true" outlineLevel="0" collapsed="false">
      <c r="A686" s="121"/>
      <c r="B686" s="122"/>
      <c r="C686" s="121"/>
      <c r="D686" s="140"/>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ustomFormat="false" ht="13.5" hidden="false" customHeight="true" outlineLevel="0" collapsed="false">
      <c r="A687" s="121"/>
      <c r="B687" s="122"/>
      <c r="C687" s="121"/>
      <c r="D687" s="140"/>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ustomFormat="false" ht="13.5" hidden="false" customHeight="true" outlineLevel="0" collapsed="false">
      <c r="A688" s="121"/>
      <c r="B688" s="122"/>
      <c r="C688" s="121"/>
      <c r="D688" s="140"/>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ustomFormat="false" ht="13.5" hidden="false" customHeight="true" outlineLevel="0" collapsed="false">
      <c r="A689" s="121"/>
      <c r="B689" s="122"/>
      <c r="C689" s="121"/>
      <c r="D689" s="140"/>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ustomFormat="false" ht="13.5" hidden="false" customHeight="true" outlineLevel="0" collapsed="false">
      <c r="A690" s="121"/>
      <c r="B690" s="122"/>
      <c r="C690" s="121"/>
      <c r="D690" s="140"/>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ustomFormat="false" ht="13.5" hidden="false" customHeight="true" outlineLevel="0" collapsed="false">
      <c r="A691" s="121"/>
      <c r="B691" s="122"/>
      <c r="C691" s="121"/>
      <c r="D691" s="140"/>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ustomFormat="false" ht="13.5" hidden="false" customHeight="true" outlineLevel="0" collapsed="false">
      <c r="A692" s="121"/>
      <c r="B692" s="122"/>
      <c r="C692" s="121"/>
      <c r="D692" s="140"/>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ustomFormat="false" ht="13.5" hidden="false" customHeight="true" outlineLevel="0" collapsed="false">
      <c r="A693" s="121"/>
      <c r="B693" s="122"/>
      <c r="C693" s="121"/>
      <c r="D693" s="140"/>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ustomFormat="false" ht="13.5" hidden="false" customHeight="true" outlineLevel="0" collapsed="false">
      <c r="A694" s="121"/>
      <c r="B694" s="122"/>
      <c r="C694" s="121"/>
      <c r="D694" s="140"/>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ustomFormat="false" ht="13.5" hidden="false" customHeight="true" outlineLevel="0" collapsed="false">
      <c r="A695" s="121"/>
      <c r="B695" s="122"/>
      <c r="C695" s="121"/>
      <c r="D695" s="140"/>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ustomFormat="false" ht="13.5" hidden="false" customHeight="true" outlineLevel="0" collapsed="false">
      <c r="A696" s="121"/>
      <c r="B696" s="122"/>
      <c r="C696" s="121"/>
      <c r="D696" s="140"/>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ustomFormat="false" ht="13.5" hidden="false" customHeight="true" outlineLevel="0" collapsed="false">
      <c r="A697" s="121"/>
      <c r="B697" s="122"/>
      <c r="C697" s="121"/>
      <c r="D697" s="140"/>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ustomFormat="false" ht="13.5" hidden="false" customHeight="true" outlineLevel="0" collapsed="false">
      <c r="A698" s="121"/>
      <c r="B698" s="122"/>
      <c r="C698" s="121"/>
      <c r="D698" s="140"/>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ustomFormat="false" ht="13.5" hidden="false" customHeight="true" outlineLevel="0" collapsed="false">
      <c r="A699" s="121"/>
      <c r="B699" s="122"/>
      <c r="C699" s="121"/>
      <c r="D699" s="140"/>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ustomFormat="false" ht="13.5" hidden="false" customHeight="true" outlineLevel="0" collapsed="false">
      <c r="A700" s="121"/>
      <c r="B700" s="122"/>
      <c r="C700" s="121"/>
      <c r="D700" s="140"/>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ustomFormat="false" ht="13.5" hidden="false" customHeight="true" outlineLevel="0" collapsed="false">
      <c r="A701" s="121"/>
      <c r="B701" s="122"/>
      <c r="C701" s="121"/>
      <c r="D701" s="140"/>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ustomFormat="false" ht="13.5" hidden="false" customHeight="true" outlineLevel="0" collapsed="false">
      <c r="A702" s="121"/>
      <c r="B702" s="122"/>
      <c r="C702" s="121"/>
      <c r="D702" s="140"/>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ustomFormat="false" ht="13.5" hidden="false" customHeight="true" outlineLevel="0" collapsed="false">
      <c r="A703" s="121"/>
      <c r="B703" s="122"/>
      <c r="C703" s="121"/>
      <c r="D703" s="140"/>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ustomFormat="false" ht="13.5" hidden="false" customHeight="true" outlineLevel="0" collapsed="false">
      <c r="A704" s="121"/>
      <c r="B704" s="122"/>
      <c r="C704" s="121"/>
      <c r="D704" s="140"/>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ustomFormat="false" ht="13.5" hidden="false" customHeight="true" outlineLevel="0" collapsed="false">
      <c r="A705" s="121"/>
      <c r="B705" s="122"/>
      <c r="C705" s="121"/>
      <c r="D705" s="140"/>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ustomFormat="false" ht="13.5" hidden="false" customHeight="true" outlineLevel="0" collapsed="false">
      <c r="A706" s="121"/>
      <c r="B706" s="122"/>
      <c r="C706" s="121"/>
      <c r="D706" s="140"/>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ustomFormat="false" ht="13.5" hidden="false" customHeight="true" outlineLevel="0" collapsed="false">
      <c r="A707" s="121"/>
      <c r="B707" s="122"/>
      <c r="C707" s="121"/>
      <c r="D707" s="140"/>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ustomFormat="false" ht="13.5" hidden="false" customHeight="true" outlineLevel="0" collapsed="false">
      <c r="A708" s="121"/>
      <c r="B708" s="122"/>
      <c r="C708" s="121"/>
      <c r="D708" s="140"/>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ustomFormat="false" ht="13.5" hidden="false" customHeight="true" outlineLevel="0" collapsed="false">
      <c r="A709" s="121"/>
      <c r="B709" s="122"/>
      <c r="C709" s="121"/>
      <c r="D709" s="140"/>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ustomFormat="false" ht="13.5" hidden="false" customHeight="true" outlineLevel="0" collapsed="false">
      <c r="A710" s="121"/>
      <c r="B710" s="122"/>
      <c r="C710" s="121"/>
      <c r="D710" s="140"/>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ustomFormat="false" ht="13.5" hidden="false" customHeight="true" outlineLevel="0" collapsed="false">
      <c r="A711" s="121"/>
      <c r="B711" s="122"/>
      <c r="C711" s="121"/>
      <c r="D711" s="140"/>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ustomFormat="false" ht="13.5" hidden="false" customHeight="true" outlineLevel="0" collapsed="false">
      <c r="A712" s="121"/>
      <c r="B712" s="122"/>
      <c r="C712" s="121"/>
      <c r="D712" s="140"/>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ustomFormat="false" ht="13.5" hidden="false" customHeight="true" outlineLevel="0" collapsed="false">
      <c r="A713" s="121"/>
      <c r="B713" s="122"/>
      <c r="C713" s="121"/>
      <c r="D713" s="140"/>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ustomFormat="false" ht="13.5" hidden="false" customHeight="true" outlineLevel="0" collapsed="false">
      <c r="A714" s="121"/>
      <c r="B714" s="122"/>
      <c r="C714" s="121"/>
      <c r="D714" s="140"/>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ustomFormat="false" ht="13.5" hidden="false" customHeight="true" outlineLevel="0" collapsed="false">
      <c r="A715" s="121"/>
      <c r="B715" s="122"/>
      <c r="C715" s="121"/>
      <c r="D715" s="140"/>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ustomFormat="false" ht="13.5" hidden="false" customHeight="true" outlineLevel="0" collapsed="false">
      <c r="A716" s="121"/>
      <c r="B716" s="122"/>
      <c r="C716" s="121"/>
      <c r="D716" s="140"/>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ustomFormat="false" ht="13.5" hidden="false" customHeight="true" outlineLevel="0" collapsed="false">
      <c r="A717" s="121"/>
      <c r="B717" s="122"/>
      <c r="C717" s="121"/>
      <c r="D717" s="140"/>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ustomFormat="false" ht="13.5" hidden="false" customHeight="true" outlineLevel="0" collapsed="false">
      <c r="A718" s="121"/>
      <c r="B718" s="122"/>
      <c r="C718" s="121"/>
      <c r="D718" s="140"/>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ustomFormat="false" ht="13.5" hidden="false" customHeight="true" outlineLevel="0" collapsed="false">
      <c r="A719" s="121"/>
      <c r="B719" s="122"/>
      <c r="C719" s="121"/>
      <c r="D719" s="140"/>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ustomFormat="false" ht="13.5" hidden="false" customHeight="true" outlineLevel="0" collapsed="false">
      <c r="A720" s="121"/>
      <c r="B720" s="122"/>
      <c r="C720" s="121"/>
      <c r="D720" s="140"/>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ustomFormat="false" ht="13.5" hidden="false" customHeight="true" outlineLevel="0" collapsed="false">
      <c r="A721" s="121"/>
      <c r="B721" s="122"/>
      <c r="C721" s="121"/>
      <c r="D721" s="140"/>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ustomFormat="false" ht="13.5" hidden="false" customHeight="true" outlineLevel="0" collapsed="false">
      <c r="A722" s="121"/>
      <c r="B722" s="122"/>
      <c r="C722" s="121"/>
      <c r="D722" s="140"/>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ustomFormat="false" ht="13.5" hidden="false" customHeight="true" outlineLevel="0" collapsed="false">
      <c r="A723" s="121"/>
      <c r="B723" s="122"/>
      <c r="C723" s="121"/>
      <c r="D723" s="140"/>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ustomFormat="false" ht="13.5" hidden="false" customHeight="true" outlineLevel="0" collapsed="false">
      <c r="A724" s="121"/>
      <c r="B724" s="122"/>
      <c r="C724" s="121"/>
      <c r="D724" s="140"/>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ustomFormat="false" ht="13.5" hidden="false" customHeight="true" outlineLevel="0" collapsed="false">
      <c r="A725" s="121"/>
      <c r="B725" s="122"/>
      <c r="C725" s="121"/>
      <c r="D725" s="140"/>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ustomFormat="false" ht="13.5" hidden="false" customHeight="true" outlineLevel="0" collapsed="false">
      <c r="A726" s="121"/>
      <c r="B726" s="122"/>
      <c r="C726" s="121"/>
      <c r="D726" s="140"/>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ustomFormat="false" ht="13.5" hidden="false" customHeight="true" outlineLevel="0" collapsed="false">
      <c r="A727" s="121"/>
      <c r="B727" s="122"/>
      <c r="C727" s="121"/>
      <c r="D727" s="140"/>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ustomFormat="false" ht="13.5" hidden="false" customHeight="true" outlineLevel="0" collapsed="false">
      <c r="A728" s="121"/>
      <c r="B728" s="122"/>
      <c r="C728" s="121"/>
      <c r="D728" s="140"/>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ustomFormat="false" ht="13.5" hidden="false" customHeight="true" outlineLevel="0" collapsed="false">
      <c r="A729" s="121"/>
      <c r="B729" s="122"/>
      <c r="C729" s="121"/>
      <c r="D729" s="140"/>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ustomFormat="false" ht="13.5" hidden="false" customHeight="true" outlineLevel="0" collapsed="false">
      <c r="A730" s="121"/>
      <c r="B730" s="122"/>
      <c r="C730" s="121"/>
      <c r="D730" s="140"/>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ustomFormat="false" ht="13.5" hidden="false" customHeight="true" outlineLevel="0" collapsed="false">
      <c r="A731" s="121"/>
      <c r="B731" s="122"/>
      <c r="C731" s="121"/>
      <c r="D731" s="140"/>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ustomFormat="false" ht="13.5" hidden="false" customHeight="true" outlineLevel="0" collapsed="false">
      <c r="A732" s="121"/>
      <c r="B732" s="122"/>
      <c r="C732" s="121"/>
      <c r="D732" s="140"/>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ustomFormat="false" ht="13.5" hidden="false" customHeight="true" outlineLevel="0" collapsed="false">
      <c r="A733" s="121"/>
      <c r="B733" s="122"/>
      <c r="C733" s="121"/>
      <c r="D733" s="140"/>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ustomFormat="false" ht="13.5" hidden="false" customHeight="true" outlineLevel="0" collapsed="false">
      <c r="A734" s="121"/>
      <c r="B734" s="122"/>
      <c r="C734" s="121"/>
      <c r="D734" s="140"/>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ustomFormat="false" ht="13.5" hidden="false" customHeight="true" outlineLevel="0" collapsed="false">
      <c r="A735" s="121"/>
      <c r="B735" s="122"/>
      <c r="C735" s="121"/>
      <c r="D735" s="140"/>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ustomFormat="false" ht="13.5" hidden="false" customHeight="true" outlineLevel="0" collapsed="false">
      <c r="A736" s="121"/>
      <c r="B736" s="122"/>
      <c r="C736" s="121"/>
      <c r="D736" s="140"/>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ustomFormat="false" ht="13.5" hidden="false" customHeight="true" outlineLevel="0" collapsed="false">
      <c r="A737" s="121"/>
      <c r="B737" s="122"/>
      <c r="C737" s="121"/>
      <c r="D737" s="140"/>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ustomFormat="false" ht="13.5" hidden="false" customHeight="true" outlineLevel="0" collapsed="false">
      <c r="A738" s="121"/>
      <c r="B738" s="122"/>
      <c r="C738" s="121"/>
      <c r="D738" s="140"/>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ustomFormat="false" ht="13.5" hidden="false" customHeight="true" outlineLevel="0" collapsed="false">
      <c r="A739" s="121"/>
      <c r="B739" s="122"/>
      <c r="C739" s="121"/>
      <c r="D739" s="140"/>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ustomFormat="false" ht="13.5" hidden="false" customHeight="true" outlineLevel="0" collapsed="false">
      <c r="A740" s="121"/>
      <c r="B740" s="122"/>
      <c r="C740" s="121"/>
      <c r="D740" s="140"/>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ustomFormat="false" ht="13.5" hidden="false" customHeight="true" outlineLevel="0" collapsed="false">
      <c r="A741" s="121"/>
      <c r="B741" s="122"/>
      <c r="C741" s="121"/>
      <c r="D741" s="140"/>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ustomFormat="false" ht="13.5" hidden="false" customHeight="true" outlineLevel="0" collapsed="false">
      <c r="A742" s="121"/>
      <c r="B742" s="122"/>
      <c r="C742" s="121"/>
      <c r="D742" s="140"/>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ustomFormat="false" ht="13.5" hidden="false" customHeight="true" outlineLevel="0" collapsed="false">
      <c r="A743" s="121"/>
      <c r="B743" s="122"/>
      <c r="C743" s="121"/>
      <c r="D743" s="140"/>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ustomFormat="false" ht="13.5" hidden="false" customHeight="true" outlineLevel="0" collapsed="false">
      <c r="A744" s="121"/>
      <c r="B744" s="122"/>
      <c r="C744" s="121"/>
      <c r="D744" s="140"/>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ustomFormat="false" ht="13.5" hidden="false" customHeight="true" outlineLevel="0" collapsed="false">
      <c r="A745" s="121"/>
      <c r="B745" s="122"/>
      <c r="C745" s="121"/>
      <c r="D745" s="140"/>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ustomFormat="false" ht="13.5" hidden="false" customHeight="true" outlineLevel="0" collapsed="false">
      <c r="A746" s="121"/>
      <c r="B746" s="122"/>
      <c r="C746" s="121"/>
      <c r="D746" s="140"/>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ustomFormat="false" ht="13.5" hidden="false" customHeight="true" outlineLevel="0" collapsed="false">
      <c r="A747" s="121"/>
      <c r="B747" s="122"/>
      <c r="C747" s="121"/>
      <c r="D747" s="140"/>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ustomFormat="false" ht="13.5" hidden="false" customHeight="true" outlineLevel="0" collapsed="false">
      <c r="A748" s="121"/>
      <c r="B748" s="122"/>
      <c r="C748" s="121"/>
      <c r="D748" s="140"/>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ustomFormat="false" ht="13.5" hidden="false" customHeight="true" outlineLevel="0" collapsed="false">
      <c r="A749" s="121"/>
      <c r="B749" s="122"/>
      <c r="C749" s="121"/>
      <c r="D749" s="140"/>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ustomFormat="false" ht="13.5" hidden="false" customHeight="true" outlineLevel="0" collapsed="false">
      <c r="A750" s="121"/>
      <c r="B750" s="122"/>
      <c r="C750" s="121"/>
      <c r="D750" s="140"/>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ustomFormat="false" ht="13.5" hidden="false" customHeight="true" outlineLevel="0" collapsed="false">
      <c r="A751" s="121"/>
      <c r="B751" s="122"/>
      <c r="C751" s="121"/>
      <c r="D751" s="140"/>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ustomFormat="false" ht="13.5" hidden="false" customHeight="true" outlineLevel="0" collapsed="false">
      <c r="A752" s="121"/>
      <c r="B752" s="122"/>
      <c r="C752" s="121"/>
      <c r="D752" s="140"/>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ustomFormat="false" ht="13.5" hidden="false" customHeight="true" outlineLevel="0" collapsed="false">
      <c r="A753" s="121"/>
      <c r="B753" s="122"/>
      <c r="C753" s="121"/>
      <c r="D753" s="140"/>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ustomFormat="false" ht="13.5" hidden="false" customHeight="true" outlineLevel="0" collapsed="false">
      <c r="A754" s="121"/>
      <c r="B754" s="122"/>
      <c r="C754" s="121"/>
      <c r="D754" s="140"/>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ustomFormat="false" ht="13.5" hidden="false" customHeight="true" outlineLevel="0" collapsed="false">
      <c r="A755" s="121"/>
      <c r="B755" s="122"/>
      <c r="C755" s="121"/>
      <c r="D755" s="140"/>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ustomFormat="false" ht="13.5" hidden="false" customHeight="true" outlineLevel="0" collapsed="false">
      <c r="A756" s="121"/>
      <c r="B756" s="122"/>
      <c r="C756" s="121"/>
      <c r="D756" s="140"/>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ustomFormat="false" ht="13.5" hidden="false" customHeight="true" outlineLevel="0" collapsed="false">
      <c r="A757" s="121"/>
      <c r="B757" s="122"/>
      <c r="C757" s="121"/>
      <c r="D757" s="140"/>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ustomFormat="false" ht="13.5" hidden="false" customHeight="true" outlineLevel="0" collapsed="false">
      <c r="A758" s="121"/>
      <c r="B758" s="122"/>
      <c r="C758" s="121"/>
      <c r="D758" s="140"/>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ustomFormat="false" ht="13.5" hidden="false" customHeight="true" outlineLevel="0" collapsed="false">
      <c r="A759" s="121"/>
      <c r="B759" s="122"/>
      <c r="C759" s="121"/>
      <c r="D759" s="140"/>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ustomFormat="false" ht="13.5" hidden="false" customHeight="true" outlineLevel="0" collapsed="false">
      <c r="A760" s="121"/>
      <c r="B760" s="122"/>
      <c r="C760" s="121"/>
      <c r="D760" s="140"/>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ustomFormat="false" ht="13.5" hidden="false" customHeight="true" outlineLevel="0" collapsed="false">
      <c r="A761" s="121"/>
      <c r="B761" s="122"/>
      <c r="C761" s="121"/>
      <c r="D761" s="140"/>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ustomFormat="false" ht="13.5" hidden="false" customHeight="true" outlineLevel="0" collapsed="false">
      <c r="A762" s="121"/>
      <c r="B762" s="122"/>
      <c r="C762" s="121"/>
      <c r="D762" s="140"/>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ustomFormat="false" ht="13.5" hidden="false" customHeight="true" outlineLevel="0" collapsed="false">
      <c r="A763" s="121"/>
      <c r="B763" s="122"/>
      <c r="C763" s="121"/>
      <c r="D763" s="140"/>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ustomFormat="false" ht="13.5" hidden="false" customHeight="true" outlineLevel="0" collapsed="false">
      <c r="A764" s="121"/>
      <c r="B764" s="122"/>
      <c r="C764" s="121"/>
      <c r="D764" s="140"/>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ustomFormat="false" ht="13.5" hidden="false" customHeight="true" outlineLevel="0" collapsed="false">
      <c r="A765" s="121"/>
      <c r="B765" s="122"/>
      <c r="C765" s="121"/>
      <c r="D765" s="140"/>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ustomFormat="false" ht="13.5" hidden="false" customHeight="true" outlineLevel="0" collapsed="false">
      <c r="A766" s="121"/>
      <c r="B766" s="122"/>
      <c r="C766" s="121"/>
      <c r="D766" s="140"/>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ustomFormat="false" ht="13.5" hidden="false" customHeight="true" outlineLevel="0" collapsed="false">
      <c r="A767" s="121"/>
      <c r="B767" s="122"/>
      <c r="C767" s="121"/>
      <c r="D767" s="140"/>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ustomFormat="false" ht="13.5" hidden="false" customHeight="true" outlineLevel="0" collapsed="false">
      <c r="A768" s="121"/>
      <c r="B768" s="122"/>
      <c r="C768" s="121"/>
      <c r="D768" s="140"/>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ustomFormat="false" ht="13.5" hidden="false" customHeight="true" outlineLevel="0" collapsed="false">
      <c r="A769" s="121"/>
      <c r="B769" s="122"/>
      <c r="C769" s="121"/>
      <c r="D769" s="140"/>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ustomFormat="false" ht="13.5" hidden="false" customHeight="true" outlineLevel="0" collapsed="false">
      <c r="A770" s="121"/>
      <c r="B770" s="122"/>
      <c r="C770" s="121"/>
      <c r="D770" s="140"/>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ustomFormat="false" ht="13.5" hidden="false" customHeight="true" outlineLevel="0" collapsed="false">
      <c r="A771" s="121"/>
      <c r="B771" s="122"/>
      <c r="C771" s="121"/>
      <c r="D771" s="140"/>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ustomFormat="false" ht="13.5" hidden="false" customHeight="true" outlineLevel="0" collapsed="false">
      <c r="A772" s="121"/>
      <c r="B772" s="122"/>
      <c r="C772" s="121"/>
      <c r="D772" s="140"/>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ustomFormat="false" ht="13.5" hidden="false" customHeight="true" outlineLevel="0" collapsed="false">
      <c r="A773" s="121"/>
      <c r="B773" s="122"/>
      <c r="C773" s="121"/>
      <c r="D773" s="140"/>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ustomFormat="false" ht="13.5" hidden="false" customHeight="true" outlineLevel="0" collapsed="false">
      <c r="A774" s="121"/>
      <c r="B774" s="122"/>
      <c r="C774" s="121"/>
      <c r="D774" s="140"/>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ustomFormat="false" ht="13.5" hidden="false" customHeight="true" outlineLevel="0" collapsed="false">
      <c r="A775" s="121"/>
      <c r="B775" s="122"/>
      <c r="C775" s="121"/>
      <c r="D775" s="140"/>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ustomFormat="false" ht="13.5" hidden="false" customHeight="true" outlineLevel="0" collapsed="false">
      <c r="A776" s="121"/>
      <c r="B776" s="122"/>
      <c r="C776" s="121"/>
      <c r="D776" s="140"/>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ustomFormat="false" ht="13.5" hidden="false" customHeight="true" outlineLevel="0" collapsed="false">
      <c r="A777" s="121"/>
      <c r="B777" s="122"/>
      <c r="C777" s="121"/>
      <c r="D777" s="140"/>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ustomFormat="false" ht="13.5" hidden="false" customHeight="true" outlineLevel="0" collapsed="false">
      <c r="A778" s="121"/>
      <c r="B778" s="122"/>
      <c r="C778" s="121"/>
      <c r="D778" s="140"/>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ustomFormat="false" ht="13.5" hidden="false" customHeight="true" outlineLevel="0" collapsed="false">
      <c r="A779" s="121"/>
      <c r="B779" s="122"/>
      <c r="C779" s="121"/>
      <c r="D779" s="140"/>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ustomFormat="false" ht="13.5" hidden="false" customHeight="true" outlineLevel="0" collapsed="false">
      <c r="A780" s="121"/>
      <c r="B780" s="122"/>
      <c r="C780" s="121"/>
      <c r="D780" s="140"/>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ustomFormat="false" ht="13.5" hidden="false" customHeight="true" outlineLevel="0" collapsed="false">
      <c r="A781" s="121"/>
      <c r="B781" s="122"/>
      <c r="C781" s="121"/>
      <c r="D781" s="140"/>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ustomFormat="false" ht="13.5" hidden="false" customHeight="true" outlineLevel="0" collapsed="false">
      <c r="A782" s="121"/>
      <c r="B782" s="122"/>
      <c r="C782" s="121"/>
      <c r="D782" s="140"/>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ustomFormat="false" ht="13.5" hidden="false" customHeight="true" outlineLevel="0" collapsed="false">
      <c r="A783" s="121"/>
      <c r="B783" s="122"/>
      <c r="C783" s="121"/>
      <c r="D783" s="140"/>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ustomFormat="false" ht="13.5" hidden="false" customHeight="true" outlineLevel="0" collapsed="false">
      <c r="A784" s="121"/>
      <c r="B784" s="122"/>
      <c r="C784" s="121"/>
      <c r="D784" s="140"/>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ustomFormat="false" ht="13.5" hidden="false" customHeight="true" outlineLevel="0" collapsed="false">
      <c r="A785" s="121"/>
      <c r="B785" s="122"/>
      <c r="C785" s="121"/>
      <c r="D785" s="140"/>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ustomFormat="false" ht="13.5" hidden="false" customHeight="true" outlineLevel="0" collapsed="false">
      <c r="A786" s="121"/>
      <c r="B786" s="122"/>
      <c r="C786" s="121"/>
      <c r="D786" s="140"/>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ustomFormat="false" ht="13.5" hidden="false" customHeight="true" outlineLevel="0" collapsed="false">
      <c r="A787" s="121"/>
      <c r="B787" s="122"/>
      <c r="C787" s="121"/>
      <c r="D787" s="140"/>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ustomFormat="false" ht="13.5" hidden="false" customHeight="true" outlineLevel="0" collapsed="false">
      <c r="A788" s="121"/>
      <c r="B788" s="122"/>
      <c r="C788" s="121"/>
      <c r="D788" s="140"/>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ustomFormat="false" ht="13.5" hidden="false" customHeight="true" outlineLevel="0" collapsed="false">
      <c r="A789" s="121"/>
      <c r="B789" s="122"/>
      <c r="C789" s="121"/>
      <c r="D789" s="140"/>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ustomFormat="false" ht="13.5" hidden="false" customHeight="true" outlineLevel="0" collapsed="false">
      <c r="A790" s="121"/>
      <c r="B790" s="122"/>
      <c r="C790" s="121"/>
      <c r="D790" s="140"/>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ustomFormat="false" ht="13.5" hidden="false" customHeight="true" outlineLevel="0" collapsed="false">
      <c r="A791" s="121"/>
      <c r="B791" s="122"/>
      <c r="C791" s="121"/>
      <c r="D791" s="140"/>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ustomFormat="false" ht="13.5" hidden="false" customHeight="true" outlineLevel="0" collapsed="false">
      <c r="A792" s="121"/>
      <c r="B792" s="122"/>
      <c r="C792" s="121"/>
      <c r="D792" s="140"/>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ustomFormat="false" ht="13.5" hidden="false" customHeight="true" outlineLevel="0" collapsed="false">
      <c r="A793" s="121"/>
      <c r="B793" s="122"/>
      <c r="C793" s="121"/>
      <c r="D793" s="140"/>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ustomFormat="false" ht="13.5" hidden="false" customHeight="true" outlineLevel="0" collapsed="false">
      <c r="A794" s="121"/>
      <c r="B794" s="122"/>
      <c r="C794" s="121"/>
      <c r="D794" s="140"/>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ustomFormat="false" ht="13.5" hidden="false" customHeight="true" outlineLevel="0" collapsed="false">
      <c r="A795" s="121"/>
      <c r="B795" s="122"/>
      <c r="C795" s="121"/>
      <c r="D795" s="140"/>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ustomFormat="false" ht="13.5" hidden="false" customHeight="true" outlineLevel="0" collapsed="false">
      <c r="A796" s="121"/>
      <c r="B796" s="122"/>
      <c r="C796" s="121"/>
      <c r="D796" s="140"/>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ustomFormat="false" ht="13.5" hidden="false" customHeight="true" outlineLevel="0" collapsed="false">
      <c r="A797" s="121"/>
      <c r="B797" s="122"/>
      <c r="C797" s="121"/>
      <c r="D797" s="140"/>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ustomFormat="false" ht="13.5" hidden="false" customHeight="true" outlineLevel="0" collapsed="false">
      <c r="A798" s="121"/>
      <c r="B798" s="122"/>
      <c r="C798" s="121"/>
      <c r="D798" s="140"/>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ustomFormat="false" ht="13.5" hidden="false" customHeight="true" outlineLevel="0" collapsed="false">
      <c r="A799" s="121"/>
      <c r="B799" s="122"/>
      <c r="C799" s="121"/>
      <c r="D799" s="140"/>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ustomFormat="false" ht="13.5" hidden="false" customHeight="true" outlineLevel="0" collapsed="false">
      <c r="A800" s="121"/>
      <c r="B800" s="122"/>
      <c r="C800" s="121"/>
      <c r="D800" s="140"/>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ustomFormat="false" ht="13.5" hidden="false" customHeight="true" outlineLevel="0" collapsed="false">
      <c r="A801" s="121"/>
      <c r="B801" s="122"/>
      <c r="C801" s="121"/>
      <c r="D801" s="140"/>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ustomFormat="false" ht="13.5" hidden="false" customHeight="true" outlineLevel="0" collapsed="false">
      <c r="A802" s="121"/>
      <c r="B802" s="122"/>
      <c r="C802" s="121"/>
      <c r="D802" s="140"/>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ustomFormat="false" ht="13.5" hidden="false" customHeight="true" outlineLevel="0" collapsed="false">
      <c r="A803" s="121"/>
      <c r="B803" s="122"/>
      <c r="C803" s="121"/>
      <c r="D803" s="140"/>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ustomFormat="false" ht="13.5" hidden="false" customHeight="true" outlineLevel="0" collapsed="false">
      <c r="A804" s="121"/>
      <c r="B804" s="122"/>
      <c r="C804" s="121"/>
      <c r="D804" s="140"/>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ustomFormat="false" ht="13.5" hidden="false" customHeight="true" outlineLevel="0" collapsed="false">
      <c r="A805" s="121"/>
      <c r="B805" s="122"/>
      <c r="C805" s="121"/>
      <c r="D805" s="140"/>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ustomFormat="false" ht="13.5" hidden="false" customHeight="true" outlineLevel="0" collapsed="false">
      <c r="A806" s="121"/>
      <c r="B806" s="122"/>
      <c r="C806" s="121"/>
      <c r="D806" s="140"/>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ustomFormat="false" ht="13.5" hidden="false" customHeight="true" outlineLevel="0" collapsed="false">
      <c r="A807" s="121"/>
      <c r="B807" s="122"/>
      <c r="C807" s="121"/>
      <c r="D807" s="140"/>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ustomFormat="false" ht="13.5" hidden="false" customHeight="true" outlineLevel="0" collapsed="false">
      <c r="A808" s="121"/>
      <c r="B808" s="122"/>
      <c r="C808" s="121"/>
      <c r="D808" s="140"/>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ustomFormat="false" ht="13.5" hidden="false" customHeight="true" outlineLevel="0" collapsed="false">
      <c r="A809" s="121"/>
      <c r="B809" s="122"/>
      <c r="C809" s="121"/>
      <c r="D809" s="140"/>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ustomFormat="false" ht="13.5" hidden="false" customHeight="true" outlineLevel="0" collapsed="false">
      <c r="A810" s="121"/>
      <c r="B810" s="122"/>
      <c r="C810" s="121"/>
      <c r="D810" s="140"/>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ustomFormat="false" ht="13.5" hidden="false" customHeight="true" outlineLevel="0" collapsed="false">
      <c r="A811" s="121"/>
      <c r="B811" s="122"/>
      <c r="C811" s="121"/>
      <c r="D811" s="140"/>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ustomFormat="false" ht="13.5" hidden="false" customHeight="true" outlineLevel="0" collapsed="false">
      <c r="A812" s="121"/>
      <c r="B812" s="122"/>
      <c r="C812" s="121"/>
      <c r="D812" s="140"/>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ustomFormat="false" ht="13.5" hidden="false" customHeight="true" outlineLevel="0" collapsed="false">
      <c r="A813" s="121"/>
      <c r="B813" s="122"/>
      <c r="C813" s="121"/>
      <c r="D813" s="140"/>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ustomFormat="false" ht="13.5" hidden="false" customHeight="true" outlineLevel="0" collapsed="false">
      <c r="A814" s="121"/>
      <c r="B814" s="122"/>
      <c r="C814" s="121"/>
      <c r="D814" s="140"/>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ustomFormat="false" ht="13.5" hidden="false" customHeight="true" outlineLevel="0" collapsed="false">
      <c r="A815" s="121"/>
      <c r="B815" s="122"/>
      <c r="C815" s="121"/>
      <c r="D815" s="140"/>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ustomFormat="false" ht="13.5" hidden="false" customHeight="true" outlineLevel="0" collapsed="false">
      <c r="A816" s="121"/>
      <c r="B816" s="122"/>
      <c r="C816" s="121"/>
      <c r="D816" s="140"/>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ustomFormat="false" ht="13.5" hidden="false" customHeight="true" outlineLevel="0" collapsed="false">
      <c r="A817" s="121"/>
      <c r="B817" s="122"/>
      <c r="C817" s="121"/>
      <c r="D817" s="140"/>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ustomFormat="false" ht="13.5" hidden="false" customHeight="true" outlineLevel="0" collapsed="false">
      <c r="A818" s="121"/>
      <c r="B818" s="122"/>
      <c r="C818" s="121"/>
      <c r="D818" s="140"/>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ustomFormat="false" ht="13.5" hidden="false" customHeight="true" outlineLevel="0" collapsed="false">
      <c r="A819" s="121"/>
      <c r="B819" s="122"/>
      <c r="C819" s="121"/>
      <c r="D819" s="140"/>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ustomFormat="false" ht="13.5" hidden="false" customHeight="true" outlineLevel="0" collapsed="false">
      <c r="A820" s="121"/>
      <c r="B820" s="122"/>
      <c r="C820" s="121"/>
      <c r="D820" s="140"/>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ustomFormat="false" ht="13.5" hidden="false" customHeight="true" outlineLevel="0" collapsed="false">
      <c r="A821" s="121"/>
      <c r="B821" s="122"/>
      <c r="C821" s="121"/>
      <c r="D821" s="140"/>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ustomFormat="false" ht="13.5" hidden="false" customHeight="true" outlineLevel="0" collapsed="false">
      <c r="A822" s="121"/>
      <c r="B822" s="122"/>
      <c r="C822" s="121"/>
      <c r="D822" s="140"/>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ustomFormat="false" ht="13.5" hidden="false" customHeight="true" outlineLevel="0" collapsed="false">
      <c r="A823" s="121"/>
      <c r="B823" s="122"/>
      <c r="C823" s="121"/>
      <c r="D823" s="140"/>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ustomFormat="false" ht="13.5" hidden="false" customHeight="true" outlineLevel="0" collapsed="false">
      <c r="A824" s="121"/>
      <c r="B824" s="122"/>
      <c r="C824" s="121"/>
      <c r="D824" s="140"/>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ustomFormat="false" ht="13.5" hidden="false" customHeight="true" outlineLevel="0" collapsed="false">
      <c r="A825" s="121"/>
      <c r="B825" s="122"/>
      <c r="C825" s="121"/>
      <c r="D825" s="140"/>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ustomFormat="false" ht="13.5" hidden="false" customHeight="true" outlineLevel="0" collapsed="false">
      <c r="A826" s="121"/>
      <c r="B826" s="122"/>
      <c r="C826" s="121"/>
      <c r="D826" s="140"/>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ustomFormat="false" ht="13.5" hidden="false" customHeight="true" outlineLevel="0" collapsed="false">
      <c r="A827" s="121"/>
      <c r="B827" s="122"/>
      <c r="C827" s="121"/>
      <c r="D827" s="140"/>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ustomFormat="false" ht="13.5" hidden="false" customHeight="true" outlineLevel="0" collapsed="false">
      <c r="A828" s="121"/>
      <c r="B828" s="122"/>
      <c r="C828" s="121"/>
      <c r="D828" s="140"/>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ustomFormat="false" ht="13.5" hidden="false" customHeight="true" outlineLevel="0" collapsed="false">
      <c r="A829" s="121"/>
      <c r="B829" s="122"/>
      <c r="C829" s="121"/>
      <c r="D829" s="140"/>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ustomFormat="false" ht="13.5" hidden="false" customHeight="true" outlineLevel="0" collapsed="false">
      <c r="A830" s="121"/>
      <c r="B830" s="122"/>
      <c r="C830" s="121"/>
      <c r="D830" s="140"/>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ustomFormat="false" ht="13.5" hidden="false" customHeight="true" outlineLevel="0" collapsed="false">
      <c r="A831" s="121"/>
      <c r="B831" s="122"/>
      <c r="C831" s="121"/>
      <c r="D831" s="140"/>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ustomFormat="false" ht="13.5" hidden="false" customHeight="true" outlineLevel="0" collapsed="false">
      <c r="A832" s="121"/>
      <c r="B832" s="122"/>
      <c r="C832" s="121"/>
      <c r="D832" s="140"/>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ustomFormat="false" ht="13.5" hidden="false" customHeight="true" outlineLevel="0" collapsed="false">
      <c r="A833" s="121"/>
      <c r="B833" s="122"/>
      <c r="C833" s="121"/>
      <c r="D833" s="140"/>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ustomFormat="false" ht="13.5" hidden="false" customHeight="true" outlineLevel="0" collapsed="false">
      <c r="A834" s="121"/>
      <c r="B834" s="122"/>
      <c r="C834" s="121"/>
      <c r="D834" s="140"/>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ustomFormat="false" ht="13.5" hidden="false" customHeight="true" outlineLevel="0" collapsed="false">
      <c r="A835" s="121"/>
      <c r="B835" s="122"/>
      <c r="C835" s="121"/>
      <c r="D835" s="140"/>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ustomFormat="false" ht="13.5" hidden="false" customHeight="true" outlineLevel="0" collapsed="false">
      <c r="A836" s="121"/>
      <c r="B836" s="122"/>
      <c r="C836" s="121"/>
      <c r="D836" s="140"/>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ustomFormat="false" ht="13.5" hidden="false" customHeight="true" outlineLevel="0" collapsed="false">
      <c r="A837" s="121"/>
      <c r="B837" s="122"/>
      <c r="C837" s="121"/>
      <c r="D837" s="140"/>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ustomFormat="false" ht="13.5" hidden="false" customHeight="true" outlineLevel="0" collapsed="false">
      <c r="A838" s="121"/>
      <c r="B838" s="122"/>
      <c r="C838" s="121"/>
      <c r="D838" s="140"/>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ustomFormat="false" ht="13.5" hidden="false" customHeight="true" outlineLevel="0" collapsed="false">
      <c r="A839" s="121"/>
      <c r="B839" s="122"/>
      <c r="C839" s="121"/>
      <c r="D839" s="140"/>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ustomFormat="false" ht="13.5" hidden="false" customHeight="true" outlineLevel="0" collapsed="false">
      <c r="A840" s="121"/>
      <c r="B840" s="122"/>
      <c r="C840" s="121"/>
      <c r="D840" s="140"/>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ustomFormat="false" ht="13.5" hidden="false" customHeight="true" outlineLevel="0" collapsed="false">
      <c r="A841" s="121"/>
      <c r="B841" s="122"/>
      <c r="C841" s="121"/>
      <c r="D841" s="140"/>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ustomFormat="false" ht="13.5" hidden="false" customHeight="true" outlineLevel="0" collapsed="false">
      <c r="A842" s="121"/>
      <c r="B842" s="122"/>
      <c r="C842" s="121"/>
      <c r="D842" s="140"/>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ustomFormat="false" ht="13.5" hidden="false" customHeight="true" outlineLevel="0" collapsed="false">
      <c r="A843" s="121"/>
      <c r="B843" s="122"/>
      <c r="C843" s="121"/>
      <c r="D843" s="140"/>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ustomFormat="false" ht="13.5" hidden="false" customHeight="true" outlineLevel="0" collapsed="false">
      <c r="A844" s="121"/>
      <c r="B844" s="122"/>
      <c r="C844" s="121"/>
      <c r="D844" s="140"/>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ustomFormat="false" ht="13.5" hidden="false" customHeight="true" outlineLevel="0" collapsed="false">
      <c r="A845" s="121"/>
      <c r="B845" s="122"/>
      <c r="C845" s="121"/>
      <c r="D845" s="140"/>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ustomFormat="false" ht="13.5" hidden="false" customHeight="true" outlineLevel="0" collapsed="false">
      <c r="A846" s="121"/>
      <c r="B846" s="122"/>
      <c r="C846" s="121"/>
      <c r="D846" s="140"/>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ustomFormat="false" ht="13.5" hidden="false" customHeight="true" outlineLevel="0" collapsed="false">
      <c r="A847" s="121"/>
      <c r="B847" s="122"/>
      <c r="C847" s="121"/>
      <c r="D847" s="140"/>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ustomFormat="false" ht="13.5" hidden="false" customHeight="true" outlineLevel="0" collapsed="false">
      <c r="A848" s="121"/>
      <c r="B848" s="122"/>
      <c r="C848" s="121"/>
      <c r="D848" s="140"/>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ustomFormat="false" ht="13.5" hidden="false" customHeight="true" outlineLevel="0" collapsed="false">
      <c r="A849" s="121"/>
      <c r="B849" s="122"/>
      <c r="C849" s="121"/>
      <c r="D849" s="140"/>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ustomFormat="false" ht="13.5" hidden="false" customHeight="true" outlineLevel="0" collapsed="false">
      <c r="A850" s="121"/>
      <c r="B850" s="122"/>
      <c r="C850" s="121"/>
      <c r="D850" s="140"/>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ustomFormat="false" ht="13.5" hidden="false" customHeight="true" outlineLevel="0" collapsed="false">
      <c r="A851" s="121"/>
      <c r="B851" s="122"/>
      <c r="C851" s="121"/>
      <c r="D851" s="140"/>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ustomFormat="false" ht="13.5" hidden="false" customHeight="true" outlineLevel="0" collapsed="false">
      <c r="A852" s="121"/>
      <c r="B852" s="122"/>
      <c r="C852" s="121"/>
      <c r="D852" s="140"/>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ustomFormat="false" ht="13.5" hidden="false" customHeight="true" outlineLevel="0" collapsed="false">
      <c r="A853" s="121"/>
      <c r="B853" s="122"/>
      <c r="C853" s="121"/>
      <c r="D853" s="140"/>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ustomFormat="false" ht="13.5" hidden="false" customHeight="true" outlineLevel="0" collapsed="false">
      <c r="A854" s="121"/>
      <c r="B854" s="122"/>
      <c r="C854" s="121"/>
      <c r="D854" s="140"/>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ustomFormat="false" ht="13.5" hidden="false" customHeight="true" outlineLevel="0" collapsed="false">
      <c r="A855" s="121"/>
      <c r="B855" s="122"/>
      <c r="C855" s="121"/>
      <c r="D855" s="140"/>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ustomFormat="false" ht="13.5" hidden="false" customHeight="true" outlineLevel="0" collapsed="false">
      <c r="A856" s="121"/>
      <c r="B856" s="122"/>
      <c r="C856" s="121"/>
      <c r="D856" s="140"/>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ustomFormat="false" ht="13.5" hidden="false" customHeight="true" outlineLevel="0" collapsed="false">
      <c r="A857" s="121"/>
      <c r="B857" s="122"/>
      <c r="C857" s="121"/>
      <c r="D857" s="140"/>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ustomFormat="false" ht="13.5" hidden="false" customHeight="true" outlineLevel="0" collapsed="false">
      <c r="A858" s="121"/>
      <c r="B858" s="122"/>
      <c r="C858" s="121"/>
      <c r="D858" s="140"/>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ustomFormat="false" ht="13.5" hidden="false" customHeight="true" outlineLevel="0" collapsed="false">
      <c r="A859" s="121"/>
      <c r="B859" s="122"/>
      <c r="C859" s="121"/>
      <c r="D859" s="140"/>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ustomFormat="false" ht="13.5" hidden="false" customHeight="true" outlineLevel="0" collapsed="false">
      <c r="A860" s="121"/>
      <c r="B860" s="122"/>
      <c r="C860" s="121"/>
      <c r="D860" s="140"/>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ustomFormat="false" ht="13.5" hidden="false" customHeight="true" outlineLevel="0" collapsed="false">
      <c r="A861" s="121"/>
      <c r="B861" s="122"/>
      <c r="C861" s="121"/>
      <c r="D861" s="140"/>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ustomFormat="false" ht="13.5" hidden="false" customHeight="true" outlineLevel="0" collapsed="false">
      <c r="A862" s="121"/>
      <c r="B862" s="122"/>
      <c r="C862" s="121"/>
      <c r="D862" s="140"/>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ustomFormat="false" ht="13.5" hidden="false" customHeight="true" outlineLevel="0" collapsed="false">
      <c r="A863" s="121"/>
      <c r="B863" s="122"/>
      <c r="C863" s="121"/>
      <c r="D863" s="140"/>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ustomFormat="false" ht="13.5" hidden="false" customHeight="true" outlineLevel="0" collapsed="false">
      <c r="A864" s="121"/>
      <c r="B864" s="122"/>
      <c r="C864" s="121"/>
      <c r="D864" s="140"/>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ustomFormat="false" ht="13.5" hidden="false" customHeight="true" outlineLevel="0" collapsed="false">
      <c r="A865" s="121"/>
      <c r="B865" s="122"/>
      <c r="C865" s="121"/>
      <c r="D865" s="140"/>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ustomFormat="false" ht="13.5" hidden="false" customHeight="true" outlineLevel="0" collapsed="false">
      <c r="A866" s="121"/>
      <c r="B866" s="122"/>
      <c r="C866" s="121"/>
      <c r="D866" s="140"/>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ustomFormat="false" ht="13.5" hidden="false" customHeight="true" outlineLevel="0" collapsed="false">
      <c r="A867" s="121"/>
      <c r="B867" s="122"/>
      <c r="C867" s="121"/>
      <c r="D867" s="140"/>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ustomFormat="false" ht="13.5" hidden="false" customHeight="true" outlineLevel="0" collapsed="false">
      <c r="A868" s="121"/>
      <c r="B868" s="122"/>
      <c r="C868" s="121"/>
      <c r="D868" s="140"/>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ustomFormat="false" ht="13.5" hidden="false" customHeight="true" outlineLevel="0" collapsed="false">
      <c r="A869" s="121"/>
      <c r="B869" s="122"/>
      <c r="C869" s="121"/>
      <c r="D869" s="140"/>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ustomFormat="false" ht="13.5" hidden="false" customHeight="true" outlineLevel="0" collapsed="false">
      <c r="A870" s="121"/>
      <c r="B870" s="122"/>
      <c r="C870" s="121"/>
      <c r="D870" s="140"/>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ustomFormat="false" ht="13.5" hidden="false" customHeight="true" outlineLevel="0" collapsed="false">
      <c r="A871" s="121"/>
      <c r="B871" s="122"/>
      <c r="C871" s="121"/>
      <c r="D871" s="140"/>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ustomFormat="false" ht="13.5" hidden="false" customHeight="true" outlineLevel="0" collapsed="false">
      <c r="A872" s="121"/>
      <c r="B872" s="122"/>
      <c r="C872" s="121"/>
      <c r="D872" s="140"/>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ustomFormat="false" ht="13.5" hidden="false" customHeight="true" outlineLevel="0" collapsed="false">
      <c r="A873" s="121"/>
      <c r="B873" s="122"/>
      <c r="C873" s="121"/>
      <c r="D873" s="140"/>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ustomFormat="false" ht="13.5" hidden="false" customHeight="true" outlineLevel="0" collapsed="false">
      <c r="A874" s="121"/>
      <c r="B874" s="122"/>
      <c r="C874" s="121"/>
      <c r="D874" s="140"/>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ustomFormat="false" ht="13.5" hidden="false" customHeight="true" outlineLevel="0" collapsed="false">
      <c r="A875" s="121"/>
      <c r="B875" s="122"/>
      <c r="C875" s="121"/>
      <c r="D875" s="140"/>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ustomFormat="false" ht="13.5" hidden="false" customHeight="true" outlineLevel="0" collapsed="false">
      <c r="A876" s="121"/>
      <c r="B876" s="122"/>
      <c r="C876" s="121"/>
      <c r="D876" s="140"/>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ustomFormat="false" ht="13.5" hidden="false" customHeight="true" outlineLevel="0" collapsed="false">
      <c r="A877" s="121"/>
      <c r="B877" s="122"/>
      <c r="C877" s="121"/>
      <c r="D877" s="140"/>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ustomFormat="false" ht="13.5" hidden="false" customHeight="true" outlineLevel="0" collapsed="false">
      <c r="A878" s="121"/>
      <c r="B878" s="122"/>
      <c r="C878" s="121"/>
      <c r="D878" s="140"/>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ustomFormat="false" ht="13.5" hidden="false" customHeight="true" outlineLevel="0" collapsed="false">
      <c r="A879" s="121"/>
      <c r="B879" s="122"/>
      <c r="C879" s="121"/>
      <c r="D879" s="140"/>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ustomFormat="false" ht="13.5" hidden="false" customHeight="true" outlineLevel="0" collapsed="false">
      <c r="A880" s="121"/>
      <c r="B880" s="122"/>
      <c r="C880" s="121"/>
      <c r="D880" s="140"/>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ustomFormat="false" ht="13.5" hidden="false" customHeight="true" outlineLevel="0" collapsed="false">
      <c r="A881" s="121"/>
      <c r="B881" s="122"/>
      <c r="C881" s="121"/>
      <c r="D881" s="140"/>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ustomFormat="false" ht="13.5" hidden="false" customHeight="true" outlineLevel="0" collapsed="false">
      <c r="A882" s="121"/>
      <c r="B882" s="122"/>
      <c r="C882" s="121"/>
      <c r="D882" s="140"/>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ustomFormat="false" ht="13.5" hidden="false" customHeight="true" outlineLevel="0" collapsed="false">
      <c r="A883" s="121"/>
      <c r="B883" s="122"/>
      <c r="C883" s="121"/>
      <c r="D883" s="140"/>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ustomFormat="false" ht="13.5" hidden="false" customHeight="true" outlineLevel="0" collapsed="false">
      <c r="A884" s="121"/>
      <c r="B884" s="122"/>
      <c r="C884" s="121"/>
      <c r="D884" s="140"/>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ustomFormat="false" ht="13.5" hidden="false" customHeight="true" outlineLevel="0" collapsed="false">
      <c r="A885" s="121"/>
      <c r="B885" s="122"/>
      <c r="C885" s="121"/>
      <c r="D885" s="140"/>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ustomFormat="false" ht="13.5" hidden="false" customHeight="true" outlineLevel="0" collapsed="false">
      <c r="A886" s="121"/>
      <c r="B886" s="122"/>
      <c r="C886" s="121"/>
      <c r="D886" s="140"/>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ustomFormat="false" ht="13.5" hidden="false" customHeight="true" outlineLevel="0" collapsed="false">
      <c r="A887" s="121"/>
      <c r="B887" s="122"/>
      <c r="C887" s="121"/>
      <c r="D887" s="140"/>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ustomFormat="false" ht="13.5" hidden="false" customHeight="true" outlineLevel="0" collapsed="false">
      <c r="A888" s="121"/>
      <c r="B888" s="122"/>
      <c r="C888" s="121"/>
      <c r="D888" s="140"/>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ustomFormat="false" ht="13.5" hidden="false" customHeight="true" outlineLevel="0" collapsed="false">
      <c r="A889" s="121"/>
      <c r="B889" s="122"/>
      <c r="C889" s="121"/>
      <c r="D889" s="140"/>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ustomFormat="false" ht="13.5" hidden="false" customHeight="true" outlineLevel="0" collapsed="false">
      <c r="A890" s="121"/>
      <c r="B890" s="122"/>
      <c r="C890" s="121"/>
      <c r="D890" s="140"/>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ustomFormat="false" ht="13.5" hidden="false" customHeight="true" outlineLevel="0" collapsed="false">
      <c r="A891" s="121"/>
      <c r="B891" s="122"/>
      <c r="C891" s="121"/>
      <c r="D891" s="140"/>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ustomFormat="false" ht="13.5" hidden="false" customHeight="true" outlineLevel="0" collapsed="false">
      <c r="A892" s="121"/>
      <c r="B892" s="122"/>
      <c r="C892" s="121"/>
      <c r="D892" s="140"/>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ustomFormat="false" ht="13.5" hidden="false" customHeight="true" outlineLevel="0" collapsed="false">
      <c r="A893" s="121"/>
      <c r="B893" s="122"/>
      <c r="C893" s="121"/>
      <c r="D893" s="140"/>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ustomFormat="false" ht="13.5" hidden="false" customHeight="true" outlineLevel="0" collapsed="false">
      <c r="A894" s="121"/>
      <c r="B894" s="122"/>
      <c r="C894" s="121"/>
      <c r="D894" s="140"/>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ustomFormat="false" ht="13.5" hidden="false" customHeight="true" outlineLevel="0" collapsed="false">
      <c r="A895" s="121"/>
      <c r="B895" s="122"/>
      <c r="C895" s="121"/>
      <c r="D895" s="140"/>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ustomFormat="false" ht="13.5" hidden="false" customHeight="true" outlineLevel="0" collapsed="false">
      <c r="A896" s="121"/>
      <c r="B896" s="122"/>
      <c r="C896" s="121"/>
      <c r="D896" s="140"/>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ustomFormat="false" ht="13.5" hidden="false" customHeight="true" outlineLevel="0" collapsed="false">
      <c r="A897" s="121"/>
      <c r="B897" s="122"/>
      <c r="C897" s="121"/>
      <c r="D897" s="140"/>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ustomFormat="false" ht="13.5" hidden="false" customHeight="true" outlineLevel="0" collapsed="false">
      <c r="A898" s="121"/>
      <c r="B898" s="122"/>
      <c r="C898" s="121"/>
      <c r="D898" s="140"/>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ustomFormat="false" ht="13.5" hidden="false" customHeight="true" outlineLevel="0" collapsed="false">
      <c r="A899" s="121"/>
      <c r="B899" s="122"/>
      <c r="C899" s="121"/>
      <c r="D899" s="140"/>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ustomFormat="false" ht="13.5" hidden="false" customHeight="true" outlineLevel="0" collapsed="false">
      <c r="A900" s="121"/>
      <c r="B900" s="122"/>
      <c r="C900" s="121"/>
      <c r="D900" s="140"/>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ustomFormat="false" ht="13.5" hidden="false" customHeight="true" outlineLevel="0" collapsed="false">
      <c r="A901" s="121"/>
      <c r="B901" s="122"/>
      <c r="C901" s="121"/>
      <c r="D901" s="140"/>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ustomFormat="false" ht="13.5" hidden="false" customHeight="true" outlineLevel="0" collapsed="false">
      <c r="A902" s="121"/>
      <c r="B902" s="122"/>
      <c r="C902" s="121"/>
      <c r="D902" s="140"/>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ustomFormat="false" ht="13.5" hidden="false" customHeight="true" outlineLevel="0" collapsed="false">
      <c r="A903" s="121"/>
      <c r="B903" s="122"/>
      <c r="C903" s="121"/>
      <c r="D903" s="140"/>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ustomFormat="false" ht="13.5" hidden="false" customHeight="true" outlineLevel="0" collapsed="false">
      <c r="A904" s="121"/>
      <c r="B904" s="122"/>
      <c r="C904" s="121"/>
      <c r="D904" s="140"/>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ustomFormat="false" ht="13.5" hidden="false" customHeight="true" outlineLevel="0" collapsed="false">
      <c r="A905" s="121"/>
      <c r="B905" s="122"/>
      <c r="C905" s="121"/>
      <c r="D905" s="140"/>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ustomFormat="false" ht="13.5" hidden="false" customHeight="true" outlineLevel="0" collapsed="false">
      <c r="A906" s="121"/>
      <c r="B906" s="122"/>
      <c r="C906" s="121"/>
      <c r="D906" s="140"/>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ustomFormat="false" ht="13.5" hidden="false" customHeight="true" outlineLevel="0" collapsed="false">
      <c r="A907" s="121"/>
      <c r="B907" s="122"/>
      <c r="C907" s="121"/>
      <c r="D907" s="140"/>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ustomFormat="false" ht="13.5" hidden="false" customHeight="true" outlineLevel="0" collapsed="false">
      <c r="A908" s="121"/>
      <c r="B908" s="122"/>
      <c r="C908" s="121"/>
      <c r="D908" s="140"/>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ustomFormat="false" ht="13.5" hidden="false" customHeight="true" outlineLevel="0" collapsed="false">
      <c r="A909" s="121"/>
      <c r="B909" s="122"/>
      <c r="C909" s="121"/>
      <c r="D909" s="140"/>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ustomFormat="false" ht="13.5" hidden="false" customHeight="true" outlineLevel="0" collapsed="false">
      <c r="A910" s="121"/>
      <c r="B910" s="122"/>
      <c r="C910" s="121"/>
      <c r="D910" s="140"/>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ustomFormat="false" ht="13.5" hidden="false" customHeight="true" outlineLevel="0" collapsed="false">
      <c r="A911" s="121"/>
      <c r="B911" s="122"/>
      <c r="C911" s="121"/>
      <c r="D911" s="140"/>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ustomFormat="false" ht="13.5" hidden="false" customHeight="true" outlineLevel="0" collapsed="false">
      <c r="A912" s="121"/>
      <c r="B912" s="122"/>
      <c r="C912" s="121"/>
      <c r="D912" s="140"/>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ustomFormat="false" ht="13.5" hidden="false" customHeight="true" outlineLevel="0" collapsed="false">
      <c r="A913" s="121"/>
      <c r="B913" s="122"/>
      <c r="C913" s="121"/>
      <c r="D913" s="140"/>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ustomFormat="false" ht="13.5" hidden="false" customHeight="true" outlineLevel="0" collapsed="false">
      <c r="A914" s="121"/>
      <c r="B914" s="122"/>
      <c r="C914" s="121"/>
      <c r="D914" s="140"/>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ustomFormat="false" ht="13.5" hidden="false" customHeight="true" outlineLevel="0" collapsed="false">
      <c r="A915" s="121"/>
      <c r="B915" s="122"/>
      <c r="C915" s="121"/>
      <c r="D915" s="140"/>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ustomFormat="false" ht="13.5" hidden="false" customHeight="true" outlineLevel="0" collapsed="false">
      <c r="A916" s="121"/>
      <c r="B916" s="122"/>
      <c r="C916" s="121"/>
      <c r="D916" s="140"/>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ustomFormat="false" ht="13.5" hidden="false" customHeight="true" outlineLevel="0" collapsed="false">
      <c r="A917" s="121"/>
      <c r="B917" s="122"/>
      <c r="C917" s="121"/>
      <c r="D917" s="140"/>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ustomFormat="false" ht="13.5" hidden="false" customHeight="true" outlineLevel="0" collapsed="false">
      <c r="A918" s="121"/>
      <c r="B918" s="122"/>
      <c r="C918" s="121"/>
      <c r="D918" s="140"/>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ustomFormat="false" ht="13.5" hidden="false" customHeight="true" outlineLevel="0" collapsed="false">
      <c r="A919" s="121"/>
      <c r="B919" s="122"/>
      <c r="C919" s="121"/>
      <c r="D919" s="140"/>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ustomFormat="false" ht="13.5" hidden="false" customHeight="true" outlineLevel="0" collapsed="false">
      <c r="A920" s="121"/>
      <c r="B920" s="122"/>
      <c r="C920" s="121"/>
      <c r="D920" s="140"/>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ustomFormat="false" ht="13.5" hidden="false" customHeight="true" outlineLevel="0" collapsed="false">
      <c r="A921" s="121"/>
      <c r="B921" s="122"/>
      <c r="C921" s="121"/>
      <c r="D921" s="140"/>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ustomFormat="false" ht="13.5" hidden="false" customHeight="true" outlineLevel="0" collapsed="false">
      <c r="A922" s="121"/>
      <c r="B922" s="122"/>
      <c r="C922" s="121"/>
      <c r="D922" s="140"/>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ustomFormat="false" ht="13.5" hidden="false" customHeight="true" outlineLevel="0" collapsed="false">
      <c r="A923" s="121"/>
      <c r="B923" s="122"/>
      <c r="C923" s="121"/>
      <c r="D923" s="140"/>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ustomFormat="false" ht="13.5" hidden="false" customHeight="true" outlineLevel="0" collapsed="false">
      <c r="A924" s="121"/>
      <c r="B924" s="122"/>
      <c r="C924" s="121"/>
      <c r="D924" s="140"/>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ustomFormat="false" ht="13.5" hidden="false" customHeight="true" outlineLevel="0" collapsed="false">
      <c r="A925" s="121"/>
      <c r="B925" s="122"/>
      <c r="C925" s="121"/>
      <c r="D925" s="140"/>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ustomFormat="false" ht="13.5" hidden="false" customHeight="true" outlineLevel="0" collapsed="false">
      <c r="A926" s="121"/>
      <c r="B926" s="122"/>
      <c r="C926" s="121"/>
      <c r="D926" s="140"/>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ustomFormat="false" ht="13.5" hidden="false" customHeight="true" outlineLevel="0" collapsed="false">
      <c r="A927" s="121"/>
      <c r="B927" s="122"/>
      <c r="C927" s="121"/>
      <c r="D927" s="140"/>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ustomFormat="false" ht="13.5" hidden="false" customHeight="true" outlineLevel="0" collapsed="false">
      <c r="A928" s="121"/>
      <c r="B928" s="122"/>
      <c r="C928" s="121"/>
      <c r="D928" s="140"/>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ustomFormat="false" ht="13.5" hidden="false" customHeight="true" outlineLevel="0" collapsed="false">
      <c r="A929" s="121"/>
      <c r="B929" s="122"/>
      <c r="C929" s="121"/>
      <c r="D929" s="140"/>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ustomFormat="false" ht="13.5" hidden="false" customHeight="true" outlineLevel="0" collapsed="false">
      <c r="A930" s="121"/>
      <c r="B930" s="122"/>
      <c r="C930" s="121"/>
      <c r="D930" s="140"/>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ustomFormat="false" ht="13.5" hidden="false" customHeight="true" outlineLevel="0" collapsed="false">
      <c r="A931" s="121"/>
      <c r="B931" s="122"/>
      <c r="C931" s="121"/>
      <c r="D931" s="140"/>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ustomFormat="false" ht="13.5" hidden="false" customHeight="true" outlineLevel="0" collapsed="false">
      <c r="A932" s="121"/>
      <c r="B932" s="122"/>
      <c r="C932" s="121"/>
      <c r="D932" s="140"/>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ustomFormat="false" ht="13.5" hidden="false" customHeight="true" outlineLevel="0" collapsed="false">
      <c r="A933" s="121"/>
      <c r="B933" s="122"/>
      <c r="C933" s="121"/>
      <c r="D933" s="140"/>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ustomFormat="false" ht="13.5" hidden="false" customHeight="true" outlineLevel="0" collapsed="false">
      <c r="A934" s="121"/>
      <c r="B934" s="122"/>
      <c r="C934" s="121"/>
      <c r="D934" s="140"/>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ustomFormat="false" ht="13.5" hidden="false" customHeight="true" outlineLevel="0" collapsed="false">
      <c r="A935" s="121"/>
      <c r="B935" s="122"/>
      <c r="C935" s="121"/>
      <c r="D935" s="140"/>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ustomFormat="false" ht="13.5" hidden="false" customHeight="true" outlineLevel="0" collapsed="false">
      <c r="A936" s="121"/>
      <c r="B936" s="122"/>
      <c r="C936" s="121"/>
      <c r="D936" s="140"/>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ustomFormat="false" ht="13.5" hidden="false" customHeight="true" outlineLevel="0" collapsed="false">
      <c r="A937" s="121"/>
      <c r="B937" s="122"/>
      <c r="C937" s="121"/>
      <c r="D937" s="140"/>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ustomFormat="false" ht="13.5" hidden="false" customHeight="true" outlineLevel="0" collapsed="false">
      <c r="A938" s="121"/>
      <c r="B938" s="122"/>
      <c r="C938" s="121"/>
      <c r="D938" s="140"/>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ustomFormat="false" ht="13.5" hidden="false" customHeight="true" outlineLevel="0" collapsed="false">
      <c r="A939" s="121"/>
      <c r="B939" s="122"/>
      <c r="C939" s="121"/>
      <c r="D939" s="140"/>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ustomFormat="false" ht="13.5" hidden="false" customHeight="true" outlineLevel="0" collapsed="false">
      <c r="A940" s="121"/>
      <c r="B940" s="122"/>
      <c r="C940" s="121"/>
      <c r="D940" s="140"/>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ustomFormat="false" ht="13.5" hidden="false" customHeight="true" outlineLevel="0" collapsed="false">
      <c r="A941" s="121"/>
      <c r="B941" s="122"/>
      <c r="C941" s="121"/>
      <c r="D941" s="140"/>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ustomFormat="false" ht="13.5" hidden="false" customHeight="true" outlineLevel="0" collapsed="false">
      <c r="A942" s="121"/>
      <c r="B942" s="122"/>
      <c r="C942" s="121"/>
      <c r="D942" s="140"/>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ustomFormat="false" ht="13.5" hidden="false" customHeight="true" outlineLevel="0" collapsed="false">
      <c r="A943" s="121"/>
      <c r="B943" s="122"/>
      <c r="C943" s="121"/>
      <c r="D943" s="140"/>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ustomFormat="false" ht="13.5" hidden="false" customHeight="true" outlineLevel="0" collapsed="false">
      <c r="A944" s="121"/>
      <c r="B944" s="122"/>
      <c r="C944" s="121"/>
      <c r="D944" s="140"/>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ustomFormat="false" ht="13.5" hidden="false" customHeight="true" outlineLevel="0" collapsed="false">
      <c r="A945" s="121"/>
      <c r="B945" s="122"/>
      <c r="C945" s="121"/>
      <c r="D945" s="140"/>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ustomFormat="false" ht="13.5" hidden="false" customHeight="true" outlineLevel="0" collapsed="false">
      <c r="A946" s="121"/>
      <c r="B946" s="122"/>
      <c r="C946" s="121"/>
      <c r="D946" s="140"/>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ustomFormat="false" ht="13.5" hidden="false" customHeight="true" outlineLevel="0" collapsed="false">
      <c r="A947" s="121"/>
      <c r="B947" s="122"/>
      <c r="C947" s="121"/>
      <c r="D947" s="140"/>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ustomFormat="false" ht="13.5" hidden="false" customHeight="true" outlineLevel="0" collapsed="false">
      <c r="A948" s="121"/>
      <c r="B948" s="122"/>
      <c r="C948" s="121"/>
      <c r="D948" s="140"/>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ustomFormat="false" ht="13.5" hidden="false" customHeight="true" outlineLevel="0" collapsed="false">
      <c r="A949" s="121"/>
      <c r="B949" s="122"/>
      <c r="C949" s="121"/>
      <c r="D949" s="140"/>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ustomFormat="false" ht="13.5" hidden="false" customHeight="true" outlineLevel="0" collapsed="false">
      <c r="A950" s="121"/>
      <c r="B950" s="122"/>
      <c r="C950" s="121"/>
      <c r="D950" s="140"/>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ustomFormat="false" ht="13.5" hidden="false" customHeight="true" outlineLevel="0" collapsed="false">
      <c r="A951" s="121"/>
      <c r="B951" s="122"/>
      <c r="C951" s="121"/>
      <c r="D951" s="140"/>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ustomFormat="false" ht="13.5" hidden="false" customHeight="true" outlineLevel="0" collapsed="false">
      <c r="A952" s="121"/>
      <c r="B952" s="122"/>
      <c r="C952" s="121"/>
      <c r="D952" s="140"/>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ustomFormat="false" ht="13.5" hidden="false" customHeight="true" outlineLevel="0" collapsed="false">
      <c r="A953" s="121"/>
      <c r="B953" s="122"/>
      <c r="C953" s="121"/>
      <c r="D953" s="140"/>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ustomFormat="false" ht="13.5" hidden="false" customHeight="true" outlineLevel="0" collapsed="false">
      <c r="A954" s="121"/>
      <c r="B954" s="122"/>
      <c r="C954" s="121"/>
      <c r="D954" s="140"/>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ustomFormat="false" ht="13.5" hidden="false" customHeight="true" outlineLevel="0" collapsed="false">
      <c r="A955" s="121"/>
      <c r="B955" s="122"/>
      <c r="C955" s="121"/>
      <c r="D955" s="140"/>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ustomFormat="false" ht="13.5" hidden="false" customHeight="true" outlineLevel="0" collapsed="false">
      <c r="A956" s="121"/>
      <c r="B956" s="122"/>
      <c r="C956" s="121"/>
      <c r="D956" s="140"/>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ustomFormat="false" ht="13.5" hidden="false" customHeight="true" outlineLevel="0" collapsed="false">
      <c r="A957" s="121"/>
      <c r="B957" s="122"/>
      <c r="C957" s="121"/>
      <c r="D957" s="140"/>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ustomFormat="false" ht="13.5" hidden="false" customHeight="true" outlineLevel="0" collapsed="false">
      <c r="A958" s="121"/>
      <c r="B958" s="122"/>
      <c r="C958" s="121"/>
      <c r="D958" s="140"/>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ustomFormat="false" ht="13.5" hidden="false" customHeight="true" outlineLevel="0" collapsed="false">
      <c r="A959" s="121"/>
      <c r="B959" s="122"/>
      <c r="C959" s="121"/>
      <c r="D959" s="140"/>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ustomFormat="false" ht="13.5" hidden="false" customHeight="true" outlineLevel="0" collapsed="false">
      <c r="A960" s="121"/>
      <c r="B960" s="122"/>
      <c r="C960" s="121"/>
      <c r="D960" s="140"/>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ustomFormat="false" ht="13.5" hidden="false" customHeight="true" outlineLevel="0" collapsed="false">
      <c r="A961" s="121"/>
      <c r="B961" s="122"/>
      <c r="C961" s="121"/>
      <c r="D961" s="140"/>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ustomFormat="false" ht="13.5" hidden="false" customHeight="true" outlineLevel="0" collapsed="false">
      <c r="A962" s="121"/>
      <c r="B962" s="122"/>
      <c r="C962" s="121"/>
      <c r="D962" s="140"/>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ustomFormat="false" ht="13.5" hidden="false" customHeight="true" outlineLevel="0" collapsed="false">
      <c r="A963" s="121"/>
      <c r="B963" s="122"/>
      <c r="C963" s="121"/>
      <c r="D963" s="140"/>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ustomFormat="false" ht="13.5" hidden="false" customHeight="true" outlineLevel="0" collapsed="false">
      <c r="A964" s="121"/>
      <c r="B964" s="122"/>
      <c r="C964" s="121"/>
      <c r="D964" s="140"/>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ustomFormat="false" ht="13.5" hidden="false" customHeight="true" outlineLevel="0" collapsed="false">
      <c r="A965" s="121"/>
      <c r="B965" s="122"/>
      <c r="C965" s="121"/>
      <c r="D965" s="140"/>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ustomFormat="false" ht="13.5" hidden="false" customHeight="true" outlineLevel="0" collapsed="false">
      <c r="A966" s="121"/>
      <c r="B966" s="122"/>
      <c r="C966" s="121"/>
      <c r="D966" s="140"/>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ustomFormat="false" ht="13.5" hidden="false" customHeight="true" outlineLevel="0" collapsed="false">
      <c r="A967" s="121"/>
      <c r="B967" s="122"/>
      <c r="C967" s="121"/>
      <c r="D967" s="140"/>
      <c r="E967" s="121"/>
      <c r="F967" s="121"/>
      <c r="G967" s="121"/>
      <c r="H967" s="121"/>
      <c r="I967" s="121"/>
      <c r="J967" s="121"/>
      <c r="K967" s="121"/>
      <c r="N967" s="121"/>
      <c r="O967" s="121"/>
      <c r="P967" s="121"/>
      <c r="Q967" s="121"/>
      <c r="R967" s="121"/>
      <c r="S967" s="121"/>
      <c r="T967" s="121"/>
      <c r="U967" s="121"/>
      <c r="V967" s="121"/>
      <c r="W967" s="121"/>
      <c r="X967" s="121"/>
      <c r="Y967" s="121"/>
      <c r="Z967" s="121"/>
    </row>
    <row r="968" customFormat="false" ht="13.5" hidden="false" customHeight="true" outlineLevel="0" collapsed="false">
      <c r="A968" s="121"/>
      <c r="B968" s="122"/>
      <c r="C968" s="121"/>
      <c r="D968" s="140"/>
      <c r="E968" s="121"/>
      <c r="F968" s="121"/>
      <c r="G968" s="121"/>
      <c r="H968" s="121"/>
      <c r="I968" s="121"/>
      <c r="J968" s="121"/>
      <c r="K968" s="121"/>
      <c r="N968" s="121"/>
      <c r="O968" s="121"/>
      <c r="P968" s="121"/>
      <c r="Q968" s="121"/>
      <c r="R968" s="121"/>
      <c r="S968" s="121"/>
      <c r="T968" s="121"/>
      <c r="U968" s="121"/>
      <c r="V968" s="121"/>
      <c r="W968" s="121"/>
      <c r="X968" s="121"/>
      <c r="Y968" s="121"/>
      <c r="Z968" s="121"/>
    </row>
    <row r="969" customFormat="false" ht="13.5" hidden="false" customHeight="true" outlineLevel="0" collapsed="false">
      <c r="A969" s="121"/>
      <c r="B969" s="122"/>
      <c r="C969" s="121"/>
      <c r="D969" s="140"/>
      <c r="E969" s="121"/>
      <c r="F969" s="121"/>
      <c r="G969" s="121"/>
      <c r="H969" s="121"/>
      <c r="I969" s="121"/>
      <c r="J969" s="121"/>
      <c r="K969" s="121"/>
      <c r="N969" s="121"/>
      <c r="O969" s="121"/>
      <c r="P969" s="121"/>
      <c r="Q969" s="121"/>
      <c r="R969" s="121"/>
      <c r="S969" s="121"/>
      <c r="T969" s="121"/>
      <c r="U969" s="121"/>
      <c r="V969" s="121"/>
      <c r="W969" s="121"/>
      <c r="X969" s="121"/>
      <c r="Y969" s="121"/>
      <c r="Z969" s="121"/>
    </row>
    <row r="970" customFormat="false" ht="13.5" hidden="false" customHeight="true" outlineLevel="0" collapsed="false">
      <c r="A970" s="121"/>
      <c r="B970" s="122"/>
      <c r="C970" s="121"/>
      <c r="D970" s="140"/>
      <c r="E970" s="121"/>
      <c r="F970" s="121"/>
      <c r="G970" s="121"/>
      <c r="H970" s="121"/>
      <c r="I970" s="121"/>
      <c r="J970" s="121"/>
      <c r="K970" s="121"/>
      <c r="N970" s="121"/>
      <c r="O970" s="121"/>
      <c r="P970" s="121"/>
      <c r="Q970" s="121"/>
      <c r="R970" s="121"/>
      <c r="S970" s="121"/>
      <c r="T970" s="121"/>
      <c r="U970" s="121"/>
      <c r="V970" s="121"/>
      <c r="W970" s="121"/>
      <c r="X970" s="121"/>
      <c r="Y970" s="121"/>
      <c r="Z970" s="121"/>
    </row>
    <row r="971" customFormat="false" ht="13.5" hidden="false" customHeight="true" outlineLevel="0" collapsed="false">
      <c r="A971" s="121"/>
      <c r="B971" s="122"/>
      <c r="C971" s="121"/>
      <c r="D971" s="140"/>
      <c r="E971" s="121"/>
      <c r="F971" s="121"/>
      <c r="G971" s="121"/>
      <c r="H971" s="121"/>
      <c r="I971" s="121"/>
      <c r="J971" s="121"/>
      <c r="K971" s="121"/>
      <c r="N971" s="121"/>
      <c r="O971" s="121"/>
      <c r="P971" s="121"/>
      <c r="Q971" s="121"/>
      <c r="R971" s="121"/>
      <c r="S971" s="121"/>
      <c r="T971" s="121"/>
      <c r="U971" s="121"/>
      <c r="V971" s="121"/>
      <c r="W971" s="121"/>
      <c r="X971" s="121"/>
      <c r="Y971" s="121"/>
      <c r="Z971" s="121"/>
    </row>
    <row r="972" customFormat="false" ht="13.5" hidden="false" customHeight="true" outlineLevel="0" collapsed="false">
      <c r="A972" s="121"/>
      <c r="B972" s="122"/>
      <c r="C972" s="121"/>
      <c r="D972" s="140"/>
      <c r="E972" s="121"/>
      <c r="F972" s="121"/>
      <c r="G972" s="121"/>
      <c r="H972" s="121"/>
      <c r="I972" s="121"/>
      <c r="J972" s="121"/>
      <c r="K972" s="121"/>
      <c r="N972" s="121"/>
      <c r="O972" s="121"/>
      <c r="P972" s="121"/>
      <c r="Q972" s="121"/>
      <c r="R972" s="121"/>
      <c r="S972" s="121"/>
      <c r="T972" s="121"/>
      <c r="U972" s="121"/>
      <c r="V972" s="121"/>
      <c r="W972" s="121"/>
      <c r="X972" s="121"/>
      <c r="Y972" s="121"/>
      <c r="Z972" s="121"/>
    </row>
    <row r="973" customFormat="false" ht="13.5" hidden="false" customHeight="true" outlineLevel="0" collapsed="false">
      <c r="A973" s="121"/>
      <c r="B973" s="122"/>
      <c r="C973" s="121"/>
      <c r="D973" s="140"/>
      <c r="E973" s="121"/>
      <c r="F973" s="121"/>
      <c r="G973" s="121"/>
      <c r="H973" s="121"/>
      <c r="I973" s="121"/>
      <c r="J973" s="121"/>
      <c r="K973" s="121"/>
      <c r="N973" s="121"/>
      <c r="O973" s="121"/>
      <c r="P973" s="121"/>
      <c r="Q973" s="121"/>
      <c r="R973" s="121"/>
      <c r="S973" s="121"/>
      <c r="T973" s="121"/>
      <c r="U973" s="121"/>
      <c r="V973" s="121"/>
      <c r="W973" s="121"/>
      <c r="X973" s="121"/>
      <c r="Y973" s="121"/>
      <c r="Z973" s="121"/>
    </row>
    <row r="974" customFormat="false" ht="13.5" hidden="false" customHeight="true" outlineLevel="0" collapsed="false">
      <c r="A974" s="121"/>
      <c r="B974" s="122"/>
      <c r="C974" s="121"/>
      <c r="D974" s="140"/>
      <c r="E974" s="121"/>
      <c r="F974" s="121"/>
      <c r="G974" s="121"/>
      <c r="H974" s="121"/>
      <c r="I974" s="121"/>
      <c r="J974" s="121"/>
      <c r="K974" s="121"/>
      <c r="N974" s="121"/>
      <c r="O974" s="121"/>
      <c r="P974" s="121"/>
      <c r="Q974" s="121"/>
      <c r="R974" s="121"/>
      <c r="S974" s="121"/>
      <c r="T974" s="121"/>
      <c r="U974" s="121"/>
      <c r="V974" s="121"/>
      <c r="W974" s="121"/>
      <c r="X974" s="121"/>
      <c r="Y974" s="121"/>
      <c r="Z974" s="121"/>
    </row>
    <row r="975" customFormat="false" ht="13.5" hidden="false" customHeight="true" outlineLevel="0" collapsed="false">
      <c r="A975" s="121"/>
      <c r="B975" s="122"/>
      <c r="C975" s="121"/>
      <c r="D975" s="140"/>
      <c r="E975" s="121"/>
      <c r="F975" s="121"/>
      <c r="G975" s="121"/>
      <c r="H975" s="121"/>
      <c r="I975" s="121"/>
      <c r="J975" s="121"/>
      <c r="K975" s="121"/>
      <c r="N975" s="121"/>
      <c r="O975" s="121"/>
      <c r="P975" s="121"/>
      <c r="Q975" s="121"/>
      <c r="R975" s="121"/>
      <c r="S975" s="121"/>
      <c r="T975" s="121"/>
      <c r="U975" s="121"/>
      <c r="V975" s="121"/>
      <c r="W975" s="121"/>
      <c r="X975" s="121"/>
      <c r="Y975" s="121"/>
      <c r="Z975" s="121"/>
    </row>
    <row r="976" customFormat="false" ht="13.5" hidden="false" customHeight="true" outlineLevel="0" collapsed="false">
      <c r="A976" s="121"/>
      <c r="B976" s="122"/>
      <c r="C976" s="121"/>
      <c r="D976" s="140"/>
      <c r="E976" s="121"/>
      <c r="F976" s="121"/>
      <c r="G976" s="121"/>
      <c r="H976" s="121"/>
      <c r="I976" s="121"/>
      <c r="J976" s="121"/>
      <c r="K976" s="121"/>
      <c r="N976" s="121"/>
      <c r="O976" s="121"/>
      <c r="P976" s="121"/>
      <c r="Q976" s="121"/>
      <c r="R976" s="121"/>
      <c r="S976" s="121"/>
      <c r="T976" s="121"/>
      <c r="U976" s="121"/>
      <c r="V976" s="121"/>
      <c r="W976" s="121"/>
      <c r="X976" s="121"/>
      <c r="Y976" s="121"/>
      <c r="Z976" s="121"/>
    </row>
    <row r="977" customFormat="false" ht="13.5" hidden="false" customHeight="true" outlineLevel="0" collapsed="false">
      <c r="A977" s="121"/>
      <c r="B977" s="122"/>
      <c r="C977" s="121"/>
      <c r="D977" s="140"/>
      <c r="E977" s="121"/>
      <c r="F977" s="121"/>
      <c r="G977" s="121"/>
      <c r="H977" s="121"/>
      <c r="I977" s="121"/>
      <c r="J977" s="121"/>
      <c r="K977" s="121"/>
      <c r="N977" s="121"/>
      <c r="O977" s="121"/>
      <c r="P977" s="121"/>
      <c r="Q977" s="121"/>
      <c r="R977" s="121"/>
      <c r="S977" s="121"/>
      <c r="T977" s="121"/>
      <c r="U977" s="121"/>
      <c r="V977" s="121"/>
      <c r="W977" s="121"/>
      <c r="X977" s="121"/>
      <c r="Y977" s="121"/>
      <c r="Z977" s="121"/>
    </row>
    <row r="978" customFormat="false" ht="13.5" hidden="false" customHeight="true" outlineLevel="0" collapsed="false">
      <c r="A978" s="121"/>
      <c r="B978" s="122"/>
      <c r="C978" s="121"/>
      <c r="D978" s="140"/>
      <c r="E978" s="121"/>
      <c r="F978" s="121"/>
      <c r="G978" s="121"/>
      <c r="H978" s="121"/>
      <c r="I978" s="121"/>
      <c r="J978" s="121"/>
      <c r="K978" s="121"/>
      <c r="N978" s="121"/>
      <c r="O978" s="121"/>
      <c r="P978" s="121"/>
      <c r="Q978" s="121"/>
      <c r="R978" s="121"/>
      <c r="S978" s="121"/>
      <c r="T978" s="121"/>
      <c r="U978" s="121"/>
      <c r="V978" s="121"/>
      <c r="W978" s="121"/>
      <c r="X978" s="121"/>
      <c r="Y978" s="121"/>
      <c r="Z978" s="121"/>
    </row>
    <row r="979" customFormat="false" ht="13.5" hidden="false" customHeight="true" outlineLevel="0" collapsed="false">
      <c r="A979" s="121"/>
      <c r="B979" s="122"/>
      <c r="C979" s="121"/>
      <c r="D979" s="140"/>
      <c r="E979" s="121"/>
      <c r="F979" s="121"/>
      <c r="G979" s="121"/>
      <c r="H979" s="121"/>
      <c r="I979" s="121"/>
      <c r="J979" s="121"/>
      <c r="K979" s="121"/>
      <c r="N979" s="121"/>
      <c r="O979" s="121"/>
      <c r="P979" s="121"/>
      <c r="Q979" s="121"/>
      <c r="R979" s="121"/>
      <c r="S979" s="121"/>
      <c r="T979" s="121"/>
      <c r="U979" s="121"/>
      <c r="V979" s="121"/>
      <c r="W979" s="121"/>
      <c r="X979" s="121"/>
      <c r="Y979" s="121"/>
      <c r="Z979" s="121"/>
    </row>
    <row r="980" customFormat="false" ht="13.5" hidden="false" customHeight="true" outlineLevel="0" collapsed="false">
      <c r="A980" s="121"/>
      <c r="B980" s="122"/>
      <c r="C980" s="121"/>
      <c r="D980" s="140"/>
      <c r="E980" s="121"/>
      <c r="F980" s="121"/>
      <c r="G980" s="121"/>
      <c r="H980" s="121"/>
      <c r="I980" s="121"/>
      <c r="J980" s="121"/>
      <c r="K980" s="121"/>
      <c r="N980" s="121"/>
      <c r="O980" s="121"/>
      <c r="P980" s="121"/>
      <c r="Q980" s="121"/>
      <c r="R980" s="121"/>
      <c r="S980" s="121"/>
      <c r="T980" s="121"/>
      <c r="U980" s="121"/>
      <c r="V980" s="121"/>
      <c r="W980" s="121"/>
      <c r="X980" s="121"/>
      <c r="Y980" s="121"/>
      <c r="Z980" s="121"/>
    </row>
    <row r="981" customFormat="false" ht="13.5" hidden="false" customHeight="true" outlineLevel="0" collapsed="false">
      <c r="A981" s="121"/>
      <c r="B981" s="122"/>
      <c r="C981" s="121"/>
      <c r="D981" s="140"/>
      <c r="E981" s="121"/>
      <c r="F981" s="121"/>
      <c r="G981" s="121"/>
      <c r="H981" s="121"/>
      <c r="I981" s="121"/>
      <c r="J981" s="121"/>
      <c r="K981" s="121"/>
      <c r="N981" s="121"/>
      <c r="O981" s="121"/>
      <c r="P981" s="121"/>
      <c r="Q981" s="121"/>
      <c r="R981" s="121"/>
      <c r="S981" s="121"/>
      <c r="T981" s="121"/>
      <c r="U981" s="121"/>
      <c r="V981" s="121"/>
      <c r="W981" s="121"/>
      <c r="X981" s="121"/>
      <c r="Y981" s="121"/>
      <c r="Z981" s="121"/>
    </row>
    <row r="982" customFormat="false" ht="13.5" hidden="false" customHeight="true" outlineLevel="0" collapsed="false">
      <c r="A982" s="121"/>
      <c r="B982" s="122"/>
      <c r="C982" s="121"/>
      <c r="D982" s="140"/>
      <c r="E982" s="121"/>
      <c r="F982" s="121"/>
      <c r="G982" s="121"/>
      <c r="H982" s="121"/>
      <c r="I982" s="121"/>
      <c r="J982" s="121"/>
      <c r="K982" s="121"/>
      <c r="N982" s="121"/>
      <c r="O982" s="121"/>
      <c r="P982" s="121"/>
      <c r="Q982" s="121"/>
      <c r="R982" s="121"/>
      <c r="S982" s="121"/>
      <c r="T982" s="121"/>
      <c r="U982" s="121"/>
      <c r="V982" s="121"/>
      <c r="W982" s="121"/>
      <c r="X982" s="121"/>
      <c r="Y982" s="121"/>
      <c r="Z982" s="121"/>
    </row>
    <row r="983" customFormat="false" ht="13.5" hidden="false" customHeight="true" outlineLevel="0" collapsed="false">
      <c r="A983" s="121"/>
      <c r="B983" s="122"/>
      <c r="C983" s="121"/>
      <c r="D983" s="140"/>
      <c r="E983" s="121"/>
      <c r="F983" s="121"/>
      <c r="G983" s="121"/>
      <c r="H983" s="121"/>
      <c r="I983" s="121"/>
      <c r="J983" s="121"/>
      <c r="K983" s="121"/>
      <c r="N983" s="121"/>
      <c r="O983" s="121"/>
      <c r="P983" s="121"/>
      <c r="Q983" s="121"/>
      <c r="R983" s="121"/>
      <c r="S983" s="121"/>
      <c r="T983" s="121"/>
      <c r="U983" s="121"/>
      <c r="V983" s="121"/>
      <c r="W983" s="121"/>
      <c r="X983" s="121"/>
      <c r="Y983" s="121"/>
      <c r="Z983" s="121"/>
    </row>
    <row r="984" customFormat="false" ht="13.5" hidden="false" customHeight="true" outlineLevel="0" collapsed="false">
      <c r="A984" s="121"/>
      <c r="B984" s="122"/>
      <c r="C984" s="121"/>
      <c r="D984" s="140"/>
      <c r="E984" s="121"/>
      <c r="F984" s="121"/>
      <c r="G984" s="121"/>
      <c r="H984" s="121"/>
      <c r="I984" s="121"/>
      <c r="J984" s="121"/>
      <c r="K984" s="121"/>
      <c r="N984" s="121"/>
      <c r="O984" s="121"/>
      <c r="P984" s="121"/>
      <c r="Q984" s="121"/>
      <c r="R984" s="121"/>
      <c r="S984" s="121"/>
      <c r="T984" s="121"/>
      <c r="U984" s="121"/>
      <c r="V984" s="121"/>
      <c r="W984" s="121"/>
      <c r="X984" s="121"/>
      <c r="Y984" s="121"/>
      <c r="Z984" s="121"/>
    </row>
    <row r="985" customFormat="false" ht="13.5" hidden="false" customHeight="true" outlineLevel="0" collapsed="false">
      <c r="A985" s="121"/>
      <c r="B985" s="122"/>
      <c r="C985" s="121"/>
      <c r="D985" s="140"/>
      <c r="E985" s="121"/>
      <c r="F985" s="121"/>
      <c r="G985" s="121"/>
      <c r="H985" s="121"/>
      <c r="I985" s="121"/>
      <c r="J985" s="121"/>
      <c r="K985" s="121"/>
      <c r="N985" s="121"/>
      <c r="O985" s="121"/>
      <c r="P985" s="121"/>
      <c r="Q985" s="121"/>
      <c r="R985" s="121"/>
      <c r="S985" s="121"/>
      <c r="T985" s="121"/>
      <c r="U985" s="121"/>
      <c r="V985" s="121"/>
      <c r="W985" s="121"/>
      <c r="X985" s="121"/>
      <c r="Y985" s="121"/>
      <c r="Z985" s="121"/>
    </row>
    <row r="986" customFormat="false" ht="13.5" hidden="false" customHeight="true" outlineLevel="0" collapsed="false">
      <c r="A986" s="121"/>
      <c r="B986" s="122"/>
      <c r="C986" s="121"/>
      <c r="D986" s="140"/>
      <c r="E986" s="121"/>
      <c r="F986" s="121"/>
      <c r="G986" s="121"/>
      <c r="H986" s="121"/>
      <c r="I986" s="121"/>
      <c r="J986" s="121"/>
      <c r="K986" s="121"/>
      <c r="N986" s="121"/>
      <c r="O986" s="121"/>
      <c r="P986" s="121"/>
      <c r="Q986" s="121"/>
      <c r="R986" s="121"/>
      <c r="S986" s="121"/>
      <c r="T986" s="121"/>
      <c r="U986" s="121"/>
      <c r="V986" s="121"/>
      <c r="W986" s="121"/>
      <c r="X986" s="121"/>
      <c r="Y986" s="121"/>
      <c r="Z986" s="121"/>
    </row>
  </sheetData>
  <mergeCells count="27">
    <mergeCell ref="A2:B2"/>
    <mergeCell ref="C2:D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5:D25"/>
    <mergeCell ref="B26:D26"/>
    <mergeCell ref="B27:D27"/>
    <mergeCell ref="B28:D28"/>
  </mergeCells>
  <dataValidations count="3">
    <dataValidation allowBlank="true" errorStyle="stop" operator="between" prompt=" - " showDropDown="false" showErrorMessage="true" showInputMessage="true" sqref="F10:M24" type="list">
      <formula1>"O"</formula1>
      <formula2>0</formula2>
    </dataValidation>
    <dataValidation allowBlank="true" errorStyle="stop" operator="between" prompt=" - " showDropDown="false" showErrorMessage="true" showInputMessage="true" sqref="F26:M26" type="list">
      <formula1>"P,F"</formula1>
      <formula2>0</formula2>
    </dataValidation>
    <dataValidation allowBlank="true" errorStyle="stop" operator="between" prompt=" - " showDropDown="false" showErrorMessage="true" showInputMessage="true" sqref="F25:M25" type="list">
      <formula1>"N,A,B"</formula1>
      <formula2>0</formula2>
    </dataValidation>
  </dataValidation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v2/1&amp;CInternal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2007-10-09T09:39:48Z</dcterms:created>
  <dc:creator>Nguyen Hoang Anh</dc:creator>
  <dc:description/>
  <dc:language>en-US</dc:language>
  <cp:lastModifiedBy/>
  <dcterms:modified xsi:type="dcterms:W3CDTF">2026-07-20T06:00:01Z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